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  <extLst>
    <ext uri="GoogleSheetsCustomDataVersion2">
      <go:sheetsCustomData xmlns:go="http://customooxmlschemas.google.com/" r:id="rId5" roundtripDataChecksum="jy51pxOioZ4QJZRE3Vbj+5HirH3/DoG+iTYQwN87DEA="/>
    </ext>
  </extLst>
</workbook>
</file>

<file path=xl/sharedStrings.xml><?xml version="1.0" encoding="utf-8"?>
<sst xmlns="http://schemas.openxmlformats.org/spreadsheetml/2006/main" count="95" uniqueCount="94">
  <si>
    <t>ID</t>
  </si>
  <si>
    <t>Feature</t>
  </si>
  <si>
    <t>User / Technical Story</t>
  </si>
  <si>
    <t>Acceptance Criteria</t>
  </si>
  <si>
    <t>Story Points</t>
  </si>
  <si>
    <t>Jira Key</t>
  </si>
  <si>
    <t>Sprint 1 (22 Sep to 20 Oct): Data, model and app</t>
  </si>
  <si>
    <t>US_01</t>
  </si>
  <si>
    <t>Data Pipeline</t>
  </si>
  <si>
    <t>As the development team, we need clean per-eye labels, a patient-level split and preprocessed photos, so the model can be trained and tested fairly.</t>
  </si>
  <si>
    <t>Per-eye labels taken from each eye's own keywords pass the verification script; patients are split 70/15/15 with seed 42; one shared preprocessing function runs on every photo; code is merged into main.</t>
  </si>
  <si>
    <t>SCRUM-142</t>
  </si>
  <si>
    <t>US_02</t>
  </si>
  <si>
    <t>Dual-Head Model</t>
  </si>
  <si>
    <t>As a screening technician, I want one photo to give both a cataract and a glaucoma result, so I can triage both conditions in one step.</t>
  </si>
  <si>
    <t>A shared ResNet with two heads trains end to end on the real labels, weights rare cases, never reads external data, and passes the smoke test.</t>
  </si>
  <si>
    <t>SCRUM-143</t>
  </si>
  <si>
    <t>US_03</t>
  </si>
  <si>
    <t>External Test Sets</t>
  </si>
  <si>
    <t>As a reviewer, I want the model tested on outside datasets it never trained on, so I can trust that it works beyond ODIR-5K.</t>
  </si>
  <si>
    <t>Test-only labels for ORIGA, DRISHTI-GS, ACRIMA and retina_dataset_2016 have checked counts; the overlap check passes; the metrics protocol is written; calibration code is ready and uses the validation split only.</t>
  </si>
  <si>
    <t>SCRUM-144</t>
  </si>
  <si>
    <t>US_04</t>
  </si>
  <si>
    <t>App Prototype (carried over to Sprint 2)</t>
  </si>
  <si>
    <t>As a screening technician, I want to upload a patient's fundus photo and see a clear cataract and glaucoma result, so I can decide quickly whether the patient should see an eye specialist.</t>
  </si>
  <si>
    <t>Upload, Results and History screens work; upload shows a preview and rejects non-images; results show separate cataract and glaucoma results from the API, with "Uncertain, refer" as a normal result; mock data only; follows the DUAL branding.</t>
  </si>
  <si>
    <t>SCRUM-31</t>
  </si>
  <si>
    <t>US_05</t>
  </si>
  <si>
    <t>Photo Quality Check</t>
  </si>
  <si>
    <t>As a screening technician, I want the app to stop photos that can't be screened and tell me why, so I don't get a result from an unusable file.</t>
  </si>
  <si>
    <t>Unreadable, almost-black and non-fundus uploads are blocked with a clear message; hazy or blurry eye photos still go to the model; all ODIR training photos pass; 17 automated tests pass.</t>
  </si>
  <si>
    <t>SCRUM-127</t>
  </si>
  <si>
    <t>US_06</t>
  </si>
  <si>
    <t>Model Ablation</t>
  </si>
  <si>
    <t>As the development team, we want cataract-only, glaucoma-only and shared two-head models trained with identical settings, so we can test whether sharing the backbone helps.</t>
  </si>
  <si>
    <t>Nine models are saved (3 model types x 3 seeds); the training split is used to learn and the validation split to stop; settings for every run are recorded; no external data is used.</t>
  </si>
  <si>
    <t>SCRUM-55</t>
  </si>
  <si>
    <t>Sprint 2 (planned)</t>
  </si>
  <si>
    <t>US_07</t>
  </si>
  <si>
    <t>Calibration &amp; Abstention</t>
  </si>
  <si>
    <t>As an optometrist, I want the tool to say "low image quality or uncertain, refer" when it is not sure, so that I do not act on a weak result.</t>
  </si>
  <si>
    <t>Calibration, one decision threshold per disease and one abstention cutoff are fitted on the validation split only; the frozen values are committed and not changed afterwards.</t>
  </si>
  <si>
    <t>SCRUM-56</t>
  </si>
  <si>
    <t>US_08</t>
  </si>
  <si>
    <t>Internal Test</t>
  </si>
  <si>
    <t>As the development team, we want a within-dataset baseline, so that external results can be compared against it.</t>
  </si>
  <si>
    <t>All three model types are scored once on the internal test split after calibration is frozen; AUC with 95% confidence interval for each disease; results table is in the repository.</t>
  </si>
  <si>
    <t>SCRUM-57</t>
  </si>
  <si>
    <t>US_09</t>
  </si>
  <si>
    <t>External Testing</t>
  </si>
  <si>
    <t>As a primary care physician, I want to know how the model performs on photos from other clinics, so that I can judge how far to trust its referrals.</t>
  </si>
  <si>
    <t>ORIGA and DRISHTI-GS are scored with the frozen thresholds and calibration; ACRIMA and retina_dataset_2016 are reported in their own rows; AUC with confidence intervals and calibration for each set.</t>
  </si>
  <si>
    <t>SCRUM-58</t>
  </si>
  <si>
    <t>US_10</t>
  </si>
  <si>
    <t>Technical Paper Draft</t>
  </si>
  <si>
    <t>As a reader of the paper, I want the datasets and limitations described with exact counts, so that I can judge the results.</t>
  </si>
  <si>
    <t>Dataset and limitations sections use counts from the verification script; the cataract external-testing gap is stated as a limitation; PDF and Word versions are on the wiki.</t>
  </si>
  <si>
    <t>SCRUM-59</t>
  </si>
  <si>
    <t>US_11</t>
  </si>
  <si>
    <t>Cataract Haze Check</t>
  </si>
  <si>
    <t>As a primary care physician, I want to know the cataract result reflects the lens and not a blurry photo, so that I can trust a cataract referral.</t>
  </si>
  <si>
    <t>The outcome that means "the model detects haze" is written down before results are seen; cataract share is reported for media-opacity and normal eyes; blur curve is plotted against real cataract eyes.</t>
  </si>
  <si>
    <t>SCRUM-61</t>
  </si>
  <si>
    <t>US_16</t>
  </si>
  <si>
    <t>Testing and Review</t>
  </si>
  <si>
    <t>As the team, we want every Sprint 2 story tested and reviewed against its acceptance criteria by someone who did not build it, so that we know each story really works before we close it.</t>
  </si>
  <si>
    <t>Test cases are written for each Sprint 2 story; each is run and recorded as pass or fail with the date; every pull request for a Sprint 2 story is reviewed before it is merged; problems found are logged in Jira and linked to the story.</t>
  </si>
  <si>
    <t>SCRUM-154</t>
  </si>
  <si>
    <t>Sprint 3 (planned)</t>
  </si>
  <si>
    <t>US_12</t>
  </si>
  <si>
    <t>Glaucoma Heatmap Check</t>
  </si>
  <si>
    <t>As a primary care physician, I want to see that a glaucoma result is based on the optic disc, so that I can trust the referral.</t>
  </si>
  <si>
    <t>Grad-CAM heatmaps are produced for ORIGA and DRISHTI-GS; the share of images whose heatmap peak falls inside the disc outline is reported per dataset.</t>
  </si>
  <si>
    <t>SCRUM-62</t>
  </si>
  <si>
    <t>US_13</t>
  </si>
  <si>
    <t>Ablation Comparison</t>
  </si>
  <si>
    <t>As a reader of the paper, I want to know whether sharing one backbone helps, hurts or makes no difference, so that the design choice is justified.</t>
  </si>
  <si>
    <t>Single-disease and shared models are compared per disease on the internal test and, for glaucoma, on the external tests; spread across seeds is shown; table and conclusion are in the repository.</t>
  </si>
  <si>
    <t>SCRUM-63</t>
  </si>
  <si>
    <t>US_14</t>
  </si>
  <si>
    <t>Real Model in App</t>
  </si>
  <si>
    <t>As an optometrist, I want to upload a fundus photo and get real cataract and glaucoma risk scores, so that I can decide whether to refer.</t>
  </si>
  <si>
    <t>The app runs on the trained model; "Uncertain, refer" is shown as a normal result; every results table names the commit that produced it; the results commit is tagged before the final demo.</t>
  </si>
  <si>
    <t>SCRUM-64</t>
  </si>
  <si>
    <t>US_15</t>
  </si>
  <si>
    <t>Final Documentation</t>
  </si>
  <si>
    <t>As a developer joining later, I want install, deployment and API manuals, so that I can run and extend the app.</t>
  </si>
  <si>
    <t>Data card, user manual, deployment manual and API documentation in PDF and Word; final technical paper with its history page; reviewed by the data pipeline and external validation roles.</t>
  </si>
  <si>
    <t>SCRUM-65</t>
  </si>
  <si>
    <t>US_17</t>
  </si>
  <si>
    <t>As the team, we want every Sprint 3 story tested and reviewed against its acceptance criteria by someone who did not build it, so that the final product we demo and hand over really works.</t>
  </si>
  <si>
    <t>Test cases are written for each Sprint 3 story; each is run and recorded as pass or fail with the date; the full app is tested end to end with the real model before the final demo; every pull request is reviewed before it is merged; problems found are logged in Jira.</t>
  </si>
  <si>
    <t>SCRUM-156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</si>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</sst>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Montserrat"/>
    </font>
    <font>
      <b/>
      <sz val="10.0"/>
      <color rgb="FF2A63C9"/>
      <name val="Montserrat"/>
    </font>
    <font/>
    <font>
      <sz val="11.0"/>
      <color theme="1"/>
      <name val="Calibri"/>
    </font>
    <font>
      <b/>
      <sz val="10.0"/>
      <color rgb="FF36353C"/>
      <name val="Montserrat"/>
    </font>
    <font>
      <sz val="10.0"/>
      <color rgb="FF36353C"/>
      <name val="Montserrat"/>
    </font>
    <font>
      <sz val="9.0"/>
      <color rgb="FF8A8899"/>
      <name val="Montserrat"/>
    </font>
    <font>
      <i/>
      <sz val="9.0"/>
      <color rgb="FF6E6C8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A63C9"/>
        <bgColor rgb="FF2A63C9"/>
      </patternFill>
    </fill>
    <fill>
      <patternFill patternType="solid">
        <fgColor rgb="FFE7EFFB"/>
        <bgColor rgb="FFE7EFFB"/>
      </patternFill>
    </fill>
  </fills>
  <borders count="5">
    <border/>
    <border>
      <left style="thin">
        <color rgb="FFD4E1F5"/>
      </left>
      <right style="thin">
        <color rgb="FFD4E1F5"/>
      </right>
      <top style="thin">
        <color rgb="FFD4E1F5"/>
      </top>
      <bottom style="thin">
        <color rgb="FFD4E1F5"/>
      </bottom>
    </border>
    <border>
      <left style="thin">
        <color rgb="FFD4E1F5"/>
      </left>
      <top style="thin">
        <color rgb="FFD4E1F5"/>
      </top>
      <bottom style="thin">
        <color rgb="FFD4E1F5"/>
      </bottom>
    </border>
    <border>
      <top style="thin">
        <color rgb="FFD4E1F5"/>
      </top>
      <bottom style="thin">
        <color rgb="FFD4E1F5"/>
      </bottom>
    </border>
    <border>
      <right style="thin">
        <color rgb="FFD4E1F5"/>
      </right>
      <top style="thin">
        <color rgb="FFD4E1F5"/>
      </top>
      <bottom style="thin">
        <color rgb="FFD4E1F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1" fillId="3" fontId="4" numFmtId="0" xfId="0" applyBorder="1" applyFill="1" applyFont="1"/>
    <xf borderId="1" fillId="0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61.43"/>
    <col customWidth="1" min="4" max="4" width="62.0"/>
    <col customWidth="1" min="5" max="5" width="11.0"/>
    <col customWidth="1" hidden="1" min="6" max="6" width="12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1.75" customHeight="1">
      <c r="A2" s="3" t="s">
        <v>6</v>
      </c>
      <c r="B2" s="4"/>
      <c r="C2" s="4"/>
      <c r="D2" s="5"/>
      <c r="E2" s="6">
        <f>SUM(E3:E8)</f>
        <v>83</v>
      </c>
      <c r="F2" s="7"/>
    </row>
    <row r="3" ht="63.0" customHeight="1">
      <c r="A3" s="8" t="s">
        <v>7</v>
      </c>
      <c r="B3" s="9" t="s">
        <v>8</v>
      </c>
      <c r="C3" s="9" t="s">
        <v>9</v>
      </c>
      <c r="D3" s="9" t="s">
        <v>10</v>
      </c>
      <c r="E3" s="10">
        <v>23.0</v>
      </c>
      <c r="F3" s="11" t="s">
        <v>11</v>
      </c>
    </row>
    <row r="4" ht="57.0" customHeight="1">
      <c r="A4" s="8" t="s">
        <v>12</v>
      </c>
      <c r="B4" s="9" t="s">
        <v>13</v>
      </c>
      <c r="C4" s="9" t="s">
        <v>14</v>
      </c>
      <c r="D4" s="9" t="s">
        <v>15</v>
      </c>
      <c r="E4" s="10">
        <v>16.0</v>
      </c>
      <c r="F4" s="11" t="s">
        <v>16</v>
      </c>
    </row>
    <row r="5" ht="63.0" customHeight="1">
      <c r="A5" s="8" t="s">
        <v>17</v>
      </c>
      <c r="B5" s="9" t="s">
        <v>18</v>
      </c>
      <c r="C5" s="9" t="s">
        <v>19</v>
      </c>
      <c r="D5" s="9" t="s">
        <v>20</v>
      </c>
      <c r="E5" s="10">
        <v>15.0</v>
      </c>
      <c r="F5" s="11" t="s">
        <v>21</v>
      </c>
    </row>
    <row r="6" ht="62.25" customHeight="1">
      <c r="A6" s="8" t="s">
        <v>22</v>
      </c>
      <c r="B6" s="9" t="s">
        <v>23</v>
      </c>
      <c r="C6" s="9" t="s">
        <v>24</v>
      </c>
      <c r="D6" s="9" t="s">
        <v>25</v>
      </c>
      <c r="E6" s="10">
        <v>18.0</v>
      </c>
      <c r="F6" s="11" t="s">
        <v>26</v>
      </c>
    </row>
    <row r="7" ht="54.75" customHeight="1">
      <c r="A7" s="8" t="s">
        <v>27</v>
      </c>
      <c r="B7" s="9" t="s">
        <v>28</v>
      </c>
      <c r="C7" s="9" t="s">
        <v>29</v>
      </c>
      <c r="D7" s="9" t="s">
        <v>30</v>
      </c>
      <c r="E7" s="10">
        <v>3.0</v>
      </c>
      <c r="F7" s="11" t="s">
        <v>31</v>
      </c>
    </row>
    <row r="8" ht="61.5" customHeight="1">
      <c r="A8" s="8" t="s">
        <v>32</v>
      </c>
      <c r="B8" s="9" t="s">
        <v>33</v>
      </c>
      <c r="C8" s="9" t="s">
        <v>34</v>
      </c>
      <c r="D8" s="9" t="s">
        <v>35</v>
      </c>
      <c r="E8" s="10">
        <v>8.0</v>
      </c>
      <c r="F8" s="11" t="s">
        <v>36</v>
      </c>
    </row>
    <row r="9" ht="21.75" customHeight="1">
      <c r="A9" s="3" t="s">
        <v>37</v>
      </c>
      <c r="B9" s="4"/>
      <c r="C9" s="4"/>
      <c r="D9" s="5"/>
      <c r="E9" s="6">
        <f>SUM(E10:E15)</f>
        <v>28</v>
      </c>
      <c r="F9" s="7"/>
    </row>
    <row r="10" ht="54.75" customHeight="1">
      <c r="A10" s="8" t="s">
        <v>38</v>
      </c>
      <c r="B10" s="9" t="s">
        <v>39</v>
      </c>
      <c r="C10" s="9" t="s">
        <v>40</v>
      </c>
      <c r="D10" s="9" t="s">
        <v>41</v>
      </c>
      <c r="E10" s="10">
        <v>5.0</v>
      </c>
      <c r="F10" s="11" t="s">
        <v>42</v>
      </c>
    </row>
    <row r="11" ht="48.75" customHeight="1">
      <c r="A11" s="8" t="s">
        <v>43</v>
      </c>
      <c r="B11" s="9" t="s">
        <v>44</v>
      </c>
      <c r="C11" s="9" t="s">
        <v>45</v>
      </c>
      <c r="D11" s="9" t="s">
        <v>46</v>
      </c>
      <c r="E11" s="10">
        <v>3.0</v>
      </c>
      <c r="F11" s="11" t="s">
        <v>47</v>
      </c>
    </row>
    <row r="12" ht="58.5" customHeight="1">
      <c r="A12" s="8" t="s">
        <v>48</v>
      </c>
      <c r="B12" s="9" t="s">
        <v>49</v>
      </c>
      <c r="C12" s="9" t="s">
        <v>50</v>
      </c>
      <c r="D12" s="9" t="s">
        <v>51</v>
      </c>
      <c r="E12" s="10">
        <v>5.0</v>
      </c>
      <c r="F12" s="11" t="s">
        <v>52</v>
      </c>
    </row>
    <row r="13" ht="50.25" customHeight="1">
      <c r="A13" s="8" t="s">
        <v>53</v>
      </c>
      <c r="B13" s="9" t="s">
        <v>54</v>
      </c>
      <c r="C13" s="9" t="s">
        <v>55</v>
      </c>
      <c r="D13" s="9" t="s">
        <v>56</v>
      </c>
      <c r="E13" s="10">
        <v>5.0</v>
      </c>
      <c r="F13" s="11" t="s">
        <v>57</v>
      </c>
    </row>
    <row r="14" ht="58.5" customHeight="1">
      <c r="A14" s="8" t="s">
        <v>58</v>
      </c>
      <c r="B14" s="9" t="s">
        <v>59</v>
      </c>
      <c r="C14" s="9" t="s">
        <v>60</v>
      </c>
      <c r="D14" s="9" t="s">
        <v>61</v>
      </c>
      <c r="E14" s="10">
        <v>5.0</v>
      </c>
      <c r="F14" s="11" t="s">
        <v>62</v>
      </c>
    </row>
    <row r="15" ht="57.0" customHeight="1">
      <c r="A15" s="8" t="s">
        <v>63</v>
      </c>
      <c r="B15" s="9" t="s">
        <v>64</v>
      </c>
      <c r="C15" s="9" t="s">
        <v>65</v>
      </c>
      <c r="D15" s="9" t="s">
        <v>66</v>
      </c>
      <c r="E15" s="10">
        <v>5.0</v>
      </c>
      <c r="F15" s="11" t="s">
        <v>67</v>
      </c>
    </row>
    <row r="16" ht="21.75" customHeight="1">
      <c r="A16" s="3" t="s">
        <v>68</v>
      </c>
      <c r="B16" s="4"/>
      <c r="C16" s="4"/>
      <c r="D16" s="5"/>
      <c r="E16" s="6">
        <f>SUM(E17:E21)</f>
        <v>29</v>
      </c>
      <c r="F16" s="7"/>
    </row>
    <row r="17" ht="50.25" customHeight="1">
      <c r="A17" s="8" t="s">
        <v>69</v>
      </c>
      <c r="B17" s="9" t="s">
        <v>70</v>
      </c>
      <c r="C17" s="9" t="s">
        <v>71</v>
      </c>
      <c r="D17" s="9" t="s">
        <v>72</v>
      </c>
      <c r="E17" s="10">
        <v>5.0</v>
      </c>
      <c r="F17" s="11" t="s">
        <v>73</v>
      </c>
    </row>
    <row r="18" ht="57.75" customHeight="1">
      <c r="A18" s="8" t="s">
        <v>74</v>
      </c>
      <c r="B18" s="9" t="s">
        <v>75</v>
      </c>
      <c r="C18" s="9" t="s">
        <v>76</v>
      </c>
      <c r="D18" s="9" t="s">
        <v>77</v>
      </c>
      <c r="E18" s="10">
        <v>3.0</v>
      </c>
      <c r="F18" s="11" t="s">
        <v>78</v>
      </c>
    </row>
    <row r="19" ht="55.5" customHeight="1">
      <c r="A19" s="8" t="s">
        <v>79</v>
      </c>
      <c r="B19" s="9" t="s">
        <v>80</v>
      </c>
      <c r="C19" s="9" t="s">
        <v>81</v>
      </c>
      <c r="D19" s="9" t="s">
        <v>82</v>
      </c>
      <c r="E19" s="10">
        <v>8.0</v>
      </c>
      <c r="F19" s="11" t="s">
        <v>83</v>
      </c>
    </row>
    <row r="20" ht="57.0" customHeight="1">
      <c r="A20" s="8" t="s">
        <v>84</v>
      </c>
      <c r="B20" s="9" t="s">
        <v>85</v>
      </c>
      <c r="C20" s="9" t="s">
        <v>86</v>
      </c>
      <c r="D20" s="9" t="s">
        <v>87</v>
      </c>
      <c r="E20" s="10">
        <v>8.0</v>
      </c>
      <c r="F20" s="11" t="s">
        <v>88</v>
      </c>
    </row>
    <row r="21" ht="71.25" customHeight="1">
      <c r="A21" s="8" t="s">
        <v>89</v>
      </c>
      <c r="B21" s="9" t="s">
        <v>64</v>
      </c>
      <c r="C21" s="9" t="s">
        <v>90</v>
      </c>
      <c r="D21" s="9" t="s">
        <v>91</v>
      </c>
      <c r="E21" s="10">
        <v>5.0</v>
      </c>
      <c r="F21" s="11" t="s">
        <v>92</v>
      </c>
    </row>
    <row r="22" ht="15.75" customHeight="1">
      <c r="D22" s="12" t="s">
        <v>93</v>
      </c>
      <c r="E22" s="13">
        <f>E2+E9+E16</f>
        <v>140</v>
      </c>
    </row>
    <row r="23" ht="15.75" customHeight="1"/>
    <row r="24" ht="15.75" customHeight="1">
      <c r="A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D2"/>
    <mergeCell ref="A9:D9"/>
    <mergeCell ref="A16:D16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2026-10-11T18:34:00Z</dcterms:created>
  <dc:creator>openpyxl</dc:creator>
</cp:coreProperties>
</file>