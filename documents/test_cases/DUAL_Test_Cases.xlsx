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 tests" sheetId="1" r:id="rId4"/>
    <sheet state="visible" name="Frontend tests" sheetId="2" r:id="rId5"/>
    <sheet state="visible" name="Test summary" sheetId="3" r:id="rId6"/>
  </sheets>
  <definedNames/>
  <calcPr/>
  <extLst>
    <ext uri="GoogleSheetsCustomDataVersion2">
      <go:sheetsCustomData xmlns:go="http://customooxmlschemas.google.com/" r:id="rId7" roundtripDataChecksum="blGTfOaa7DeB08UT8ovJWe1Z9H+yBIi/cxsxGdvcsPo="/>
    </ext>
  </extLst>
</workbook>
</file>

<file path=xl/sharedStrings.xml><?xml version="1.0" encoding="utf-8"?>
<sst xmlns="http://schemas.openxmlformats.org/spreadsheetml/2006/main" count="650" uniqueCount="333">
  <si>
    <t>DUAL Sprint 1 test summary</t>
  </si>
  <si>
    <t>DUAL Sprint 1 test cases: frontend</t>
  </si>
  <si>
    <t>Story ID</t>
  </si>
  <si>
    <t>Backend tests: These are test cases for Sprint 1 stories. Stories not part of the Sprint 1 backlog should not be displayed here.</t>
  </si>
  <si>
    <t>Feature</t>
  </si>
  <si>
    <t>Area</t>
  </si>
  <si>
    <t>Total</t>
  </si>
  <si>
    <t>US_04 As a screening technician, I want to upload a patient's fundus photo and see a clear cataract and glaucoma result, so I can decide quickly whether the patient should see an eye specialist.</t>
  </si>
  <si>
    <t>Passed</t>
  </si>
  <si>
    <t>Failed</t>
  </si>
  <si>
    <t>Not run</t>
  </si>
  <si>
    <t>US_01</t>
  </si>
  <si>
    <t>US_01 As the development team, we need clean per-eye labels, a patient-level split and preprocessed photos, so the model can be trained and tested fairly.</t>
  </si>
  <si>
    <t>TC</t>
  </si>
  <si>
    <t>Data Pipeline</t>
  </si>
  <si>
    <t>TC Title</t>
  </si>
  <si>
    <t>Step Description</t>
  </si>
  <si>
    <t>Expected Results</t>
  </si>
  <si>
    <t>Execution Status</t>
  </si>
  <si>
    <t>Tester</t>
  </si>
  <si>
    <t>Backend</t>
  </si>
  <si>
    <t>TC_04_15</t>
  </si>
  <si>
    <t xml:space="preserve">Select patient and eye
</t>
  </si>
  <si>
    <t>Open Upload. Choose a demo patient and select Left or Right.</t>
  </si>
  <si>
    <t>Selected patient and eye appear before screening.</t>
  </si>
  <si>
    <t>pass</t>
  </si>
  <si>
    <t>Bhoami</t>
  </si>
  <si>
    <t>Execution date</t>
  </si>
  <si>
    <t>TC_04_16</t>
  </si>
  <si>
    <t>Open main pages</t>
  </si>
  <si>
    <t>Use navigation to open Home, Upload, Results, History and About.</t>
  </si>
  <si>
    <t>Available pages open with the correct content.</t>
  </si>
  <si>
    <t>TC_01_01</t>
  </si>
  <si>
    <t>TC_04_17</t>
  </si>
  <si>
    <t>Upload and preview a photo</t>
  </si>
  <si>
    <t>Choose a JPG/PNG fundus photo. Review its preview before screening.</t>
  </si>
  <si>
    <t>Selected photo appears in the upload preview.</t>
  </si>
  <si>
    <t>Verification script passes the real label file</t>
  </si>
  <si>
    <t>1. Clean clone of main.
2. Run: python scripts/verify_labels.py labels/eye_labels_task7.csv --images "data/Internal/ODIR-5K/Training Images" --manifest data</t>
  </si>
  <si>
    <t>All checks pass</t>
  </si>
  <si>
    <t>TC_04_18</t>
  </si>
  <si>
    <t>Reject unsupported files</t>
  </si>
  <si>
    <t>Try uploading a non-image file, such as PDF or TXT.</t>
  </si>
  <si>
    <t>Unsupported file is rejected with clear feedback.</t>
  </si>
  <si>
    <t>TC_04_19</t>
  </si>
  <si>
    <t>Reject poor-quality image</t>
  </si>
  <si>
    <t>Upload a poor-quality fundus photograph and submit for screening.</t>
  </si>
  <si>
    <t>Quality warning appears; normal screening does not proceed.</t>
  </si>
  <si>
    <t>Oct 4</t>
  </si>
  <si>
    <t>TC_04_20</t>
  </si>
  <si>
    <t>Show screening results</t>
  </si>
  <si>
    <t>Submit an accepted fundus photo and open the Results page.</t>
  </si>
  <si>
    <t>Anel</t>
  </si>
  <si>
    <t>Overall result and separate cataract/glaucoma results appear.</t>
  </si>
  <si>
    <t>TC_04_21</t>
  </si>
  <si>
    <t>Display risk information</t>
  </si>
  <si>
    <t>Review the condition scores, thresholds, and result details.</t>
  </si>
  <si>
    <t>Risk information is shown for available mock-model outputs.</t>
  </si>
  <si>
    <t>TC_01_02</t>
  </si>
  <si>
    <t>TC_04_22</t>
  </si>
  <si>
    <t>Handle Refer / Uncertain</t>
  </si>
  <si>
    <t>Verification script reports a wrong file as wrong</t>
  </si>
  <si>
    <t>Review screens for Refer and Uncertain outputs when returned.</t>
  </si>
  <si>
    <t>Correct label and follow-up guidance are displayed.</t>
  </si>
  <si>
    <t>1. Run: python scripts/verify_labels.py labels/labels_stub.csv</t>
  </si>
  <si>
    <t>Stub file fails the count and split checks</t>
  </si>
  <si>
    <t>TC_04_23</t>
  </si>
  <si>
    <t>Review screening history</t>
  </si>
  <si>
    <t>Open History after completing a screening.</t>
  </si>
  <si>
    <t>Stored screening records can be retrieved and reviewed.</t>
  </si>
  <si>
    <t>TC_04_24</t>
  </si>
  <si>
    <t>Switch light/dark theme</t>
  </si>
  <si>
    <t>Use the theme toggle on the application interface.</t>
  </si>
  <si>
    <t>Theme changes and content remains readable.</t>
  </si>
  <si>
    <t>TC_04_25</t>
  </si>
  <si>
    <t>Check mobile layout</t>
  </si>
  <si>
    <t>Open Home, Upload, Results and History at phone width.</t>
  </si>
  <si>
    <t>Content fits without cutoff or unwanted horizontal scrolling.</t>
  </si>
  <si>
    <t>TC_01_03</t>
  </si>
  <si>
    <t>Label file has all columns and 7,000 eyes</t>
  </si>
  <si>
    <t>1. Run: python scripts/verify_labels.py labels/eye_labels_task7.csv --images "data/Internal/ODIR-5K/Training Images" --manifest data
2. Read the columns and rows lines.</t>
  </si>
  <si>
    <t>11 columns present; 7,000 rows</t>
  </si>
  <si>
    <t>TC_04_26</t>
  </si>
  <si>
    <t>Use demo patient records</t>
  </si>
  <si>
    <t>Review the patient selection and displayed patient details.</t>
  </si>
  <si>
    <t>Prototype uses fictional patient records, not real patient data.</t>
  </si>
  <si>
    <t>TC_01_04</t>
  </si>
  <si>
    <t>Per-eye disease counts are correct</t>
  </si>
  <si>
    <t>1. Same run.
2. Read the count lines.</t>
  </si>
  <si>
    <t>Cataract 313, glaucoma 282, suspected glaucoma 44, media opacity 63, quality flag 426, excluded 30, normal 2,818, diabetic retinopathy 1,796</t>
  </si>
  <si>
    <t>US_02</t>
  </si>
  <si>
    <t>Dual-Head Model</t>
  </si>
  <si>
    <t>TC_01_05</t>
  </si>
  <si>
    <t>One-eye and both-condition patient counts</t>
  </si>
  <si>
    <t>1. Same run.
2. Read the patient count lines.</t>
  </si>
  <si>
    <t>Cataract in one eye only 111; glaucoma in one eye only 72; both conditions 1</t>
  </si>
  <si>
    <t>TC_01_06</t>
  </si>
  <si>
    <t>Every filename exists and data matches the manifest</t>
  </si>
  <si>
    <t>1. Same run.
2. Read the filename and MANIFEST lines.</t>
  </si>
  <si>
    <t>No duplicate filenames; every image found; all 10,324 data files match MANIFEST.sha256</t>
  </si>
  <si>
    <t>TC_01_07</t>
  </si>
  <si>
    <t>No patient in two splits</t>
  </si>
  <si>
    <t>1. Same run.
2. Read the split lines.</t>
  </si>
  <si>
    <t>No patient in more than one of train, validation, test</t>
  </si>
  <si>
    <t>TC_01_08</t>
  </si>
  <si>
    <t>Unusable and held-out eyes kept out of training and testing</t>
  </si>
  <si>
    <t>1. Same run.</t>
  </si>
  <si>
    <t>No suspected glaucoma, media opacity or excluded eye in train, validation or test</t>
  </si>
  <si>
    <t>US_03</t>
  </si>
  <si>
    <t>External Test Sets</t>
  </si>
  <si>
    <t>TC_01_09</t>
  </si>
  <si>
    <t>Both-condition patient placed in training</t>
  </si>
  <si>
    <t>Patient with cataract and glaucoma is in train</t>
  </si>
  <si>
    <t>TC_01_10</t>
  </si>
  <si>
    <t>Split shares are 70 / 15 / 15 by patient</t>
  </si>
  <si>
    <t>About 70%, 15%, 15% of patients</t>
  </si>
  <si>
    <t>TC_01_11</t>
  </si>
  <si>
    <t>Every photo has a preprocessed copy</t>
  </si>
  <si>
    <t>1. Run: python scripts/preprocess_images.py
2. Count files per dataset in Preprocessed/.</t>
  </si>
  <si>
    <t>ODIR 7,000; ORIGA 650; DRISHTI-GS 101; ACRIMA 705; retina_dataset_2016 601</t>
  </si>
  <si>
    <t>TC_01_12</t>
  </si>
  <si>
    <t>Copies are 512 x 512</t>
  </si>
  <si>
    <t>1. Read the size of every file in Preprocessed/.</t>
  </si>
  <si>
    <t>Every copy is 512 x 512 pixels</t>
  </si>
  <si>
    <t>US_04</t>
  </si>
  <si>
    <t>App Prototype (API)</t>
  </si>
  <si>
    <t>TC_01_13</t>
  </si>
  <si>
    <t>Originals are not changed</t>
  </si>
  <si>
    <t>1. After preprocessing, re-run the MANIFEST check (verify_labels.py --manifest data).</t>
  </si>
  <si>
    <t>All 10,324 original files still match their hashes</t>
  </si>
  <si>
    <t>TC_01_14</t>
  </si>
  <si>
    <t>20 random copies look correct by eye</t>
  </si>
  <si>
    <t>1. Run: python scripts/verify_preprocessing.py
2. Open preprocessing_check.jpg and look at the 20 tiles.</t>
  </si>
  <si>
    <t>Each tile shows a centred fundus, not cut off or stretched</t>
  </si>
  <si>
    <t>TC_01_15</t>
  </si>
  <si>
    <t>Data pipeline scripts run from a clean clone</t>
  </si>
  <si>
    <t>1. Fresh clone of main (88d55db).
2. Run every test above.</t>
  </si>
  <si>
    <t>Scripts run without import errors</t>
  </si>
  <si>
    <t>App Prototype (screens)</t>
  </si>
  <si>
    <t>Frontend</t>
  </si>
  <si>
    <t>US_02 As a screening technician, I want one photo to give both a cataract and a glaucoma result, so I can triage both conditions in one step.</t>
  </si>
  <si>
    <t>TC_02_01</t>
  </si>
  <si>
    <t>Training smoke test runs end to end</t>
  </si>
  <si>
    <t>1. Preprocess ODIR (SCRUM-28).
2. Run: python scripts/test_train_dual.py</t>
  </si>
  <si>
    <t>Training batches and validation batches run with finite loss, no errors</t>
  </si>
  <si>
    <t>US_03 As a reviewer, I want the model tested on outside datasets it never trained on, so I can trust that it works beyond ODIR-5K.</t>
  </si>
  <si>
    <t>US_05</t>
  </si>
  <si>
    <t>Photo Quality Check</t>
  </si>
  <si>
    <t>TC_03_01</t>
  </si>
  <si>
    <t>ORIGA labels</t>
  </si>
  <si>
    <t>1. Run: python scripts/build_external_labels.py</t>
  </si>
  <si>
    <t>650 photos, 168 glaucoma</t>
  </si>
  <si>
    <t>TC_03_02</t>
  </si>
  <si>
    <t>DRISHTI-GS labels and spreadsheet cross-check</t>
  </si>
  <si>
    <t>101 photos, 70 glaucoma; folder labels agree with the notching spreadsheet</t>
  </si>
  <si>
    <t>TC_03_03</t>
  </si>
  <si>
    <t>ACRIMA labels</t>
  </si>
  <si>
    <t>705 photos, 396 glaucoma</t>
  </si>
  <si>
    <t>TC_03_04</t>
  </si>
  <si>
    <t>retina_dataset_2016 labels</t>
  </si>
  <si>
    <t>US_06</t>
  </si>
  <si>
    <t>Model Ablation</t>
  </si>
  <si>
    <t>601 photos, 100 cataract, 101 glaucoma</t>
  </si>
  <si>
    <t>TC_03_05</t>
  </si>
  <si>
    <t>Rebuilt label files match the committed ones</t>
  </si>
  <si>
    <t>1. After the run: git status labels/</t>
  </si>
  <si>
    <t>No changes to labels/external</t>
  </si>
  <si>
    <t>TC_03_06</t>
  </si>
  <si>
    <t>No identical copy of an ODIR photo in retina_dataset_2016</t>
  </si>
  <si>
    <t>1. Run: python scripts/check_dataset_overlap.py</t>
  </si>
  <si>
    <t>Matching fingerprints: 0. The check finds identical files only; resized or edited copies are not detected.</t>
  </si>
  <si>
    <t>TC_03_07</t>
  </si>
  <si>
    <t>A planted identical copy is caught</t>
  </si>
  <si>
    <t>1. Copy one ODIR photo, renamed, into a test folder next to a retina photo.
2. Point the script at that folder.</t>
  </si>
  <si>
    <t>Matching fingerprints: 1</t>
  </si>
  <si>
    <t>TC_03_08</t>
  </si>
  <si>
    <t>Calibration tests pass</t>
  </si>
  <si>
    <t>1. Copy of main (12db1f8).
2. Run: python -m pytest tests/test_calibration_selection.py tests/test_calibration_provenance.py</t>
  </si>
  <si>
    <t>18 passed</t>
  </si>
  <si>
    <t>Oct 18</t>
  </si>
  <si>
    <t>TC_03_09</t>
  </si>
  <si>
    <t>Calibration uses the validation split only</t>
  </si>
  <si>
    <t>1. Copy of main (12db1f8).
2. Read every results/calibration/*_validation.csv and results/calibration/shared/*_validation.csv with its .meta.json.
3. Match the filenames against the validation rows of labels/eye_labels_task7.csv.</t>
  </si>
  <si>
    <t>9 score files (6 single-disease, 3 shared in shared/), 1,024 rows each; filenames match the 1,024 validation eyes exactly; all marked split = validation; no train, test or external eye</t>
  </si>
  <si>
    <t>TC_03_10</t>
  </si>
  <si>
    <t>External label files are test-only</t>
  </si>
  <si>
    <t>1. Copy of develop (0f21e1f, PR #43).
2. Read labels/external/*.csv.</t>
  </si>
  <si>
    <t>2,057 rows across ORIGA, DRISHTI-GS, ACRIMA and retina_dataset_2016; every row has split = test</t>
  </si>
  <si>
    <t>Oct 16</t>
  </si>
  <si>
    <t>TC_03_11</t>
  </si>
  <si>
    <t>External evaluation protocol is written</t>
  </si>
  <si>
    <t>1. Copy of develop (0f21e1f, PR #43).
2. Open documents/evaluation/external_validation_protocol.md (SCRUM-44).</t>
  </si>
  <si>
    <t>Protocol lists the metrics, the freeze rule and the 2,057 test entries; counts match the label files</t>
  </si>
  <si>
    <t>TC_03_12</t>
  </si>
  <si>
    <t>Sprint 1 test cases. Totals update automatically from the Backend tests and Frontend tests tabs.</t>
  </si>
  <si>
    <t>Calibration scripts handle empty results and a worse fit</t>
  </si>
  <si>
    <t>1. Review and run the Task 12 calibration scripts on develop.
2. Check what happens when no threshold candidate is found and when the Platt fit makes the loss worse.</t>
  </si>
  <si>
    <t>No empty threshold file is written; a worse fit gives a warning (tiny increase) or an error. Issues found on 11 Oct were fixed in PR #38</t>
  </si>
  <si>
    <t>Oct 12</t>
  </si>
  <si>
    <t>Krushi</t>
  </si>
  <si>
    <t>TC_03_13</t>
  </si>
  <si>
    <t>Final cutoffs match the approved values</t>
  </si>
  <si>
    <t>1. Copy of main (12db1f8).
2. Compare results/calibration/frozen_settings.json with the approved CSV (task12_settings_90pct_floor.csv, attached on PR #43).</t>
  </si>
  <si>
    <t>All 12 model/disease/seed settings (Platt values, cutoff, margin, eyes found, referrals) identical to the approved CSV; the CSV's SHA-256 is recorded in the frozen file</t>
  </si>
  <si>
    <t>Oct 17</t>
  </si>
  <si>
    <t>TC_03_14</t>
  </si>
  <si>
    <t>Settings are frozen before the low-quality check</t>
  </si>
  <si>
    <t>1. Open results/calibration/frozen_settings.json.
2. Check the commit order on main: freeze 2920a71, then low-quality report 2688f8c.</t>
  </si>
  <si>
    <t>status = frozen, frozen = true, dated 17 Oct; review reference PR #43; app model = shared seed 42; frozen before the low-quality check ran</t>
  </si>
  <si>
    <t>TC_03_15</t>
  </si>
  <si>
    <t>Low-quality photo check uses the frozen settings</t>
  </si>
  <si>
    <t>1. Open results/calibration/final_holdout_report.md and .json.
2. Check its settings SHA-256 against frozen_settings.json.
3. Read the shared seed 42 row.</t>
  </si>
  <si>
    <t>Runs once on the 21 low-quality eyes (19 patients) with the frozen settings (SHA matches). Shared seed 42: 8 of 21 Uncertain, refer; 15 of 21 referred in total, including those 8. Counts only, no accuracy claim.</t>
  </si>
  <si>
    <t>Negar (checked by Anel)</t>
  </si>
  <si>
    <t>TC_04_01</t>
  </si>
  <si>
    <t>Login is required</t>
  </si>
  <si>
    <t>1. On branch task-api-mock (PR #35).
2. Run: python -m pytest tests/test_api.py -v</t>
  </si>
  <si>
    <t>Without logging in, the patient list returns 401; a wrong password returns 401</t>
  </si>
  <si>
    <t>Oct 10</t>
  </si>
  <si>
    <t>TC_04_02</t>
  </si>
  <si>
    <t>Logout ends the session</t>
  </si>
  <si>
    <t>After logout, the current-user call returns 401</t>
  </si>
  <si>
    <t>TC_04_03</t>
  </si>
  <si>
    <t>Demo data loads</t>
  </si>
  <si>
    <t>4 made-up patients sorted by last name; 5 screenings listed newest first</t>
  </si>
  <si>
    <t>TC_04_04</t>
  </si>
  <si>
    <t>New patient gets the next ID</t>
  </si>
  <si>
    <t>Next ID is P-005; a patient with an empty name is rejected (422)</t>
  </si>
  <si>
    <t>TC_04_05</t>
  </si>
  <si>
    <t>A fundus photo is screened</t>
  </si>
  <si>
    <t>Photo passes the quality check; screening returns a cataract and a glaucoma result, an overall result and both heatmaps; model is marked as mock</t>
  </si>
  <si>
    <t>TC_04_06</t>
  </si>
  <si>
    <t>A failed photo is never screened</t>
  </si>
  <si>
    <t>A screenshot fails as not_fundus and cannot be screened (409); a non-image file fails as unreadable</t>
  </si>
  <si>
    <t>TC_04_07</t>
  </si>
  <si>
    <t>Photo must match the patient and eye</t>
  </si>
  <si>
    <t>Screening a right-eye photo as the left eye is refused (409)</t>
  </si>
  <si>
    <t>TC_04_08</t>
  </si>
  <si>
    <t>The same eye can be screened again</t>
  </si>
  <si>
    <t>Follow-up screenings are all kept and the newest one counts as latest</t>
  </si>
  <si>
    <t>Anel (added after Krushi's review)</t>
  </si>
  <si>
    <t>TC_04_09</t>
  </si>
  <si>
    <t>The same photo is not screened twice</t>
  </si>
  <si>
    <t>A second upload of the same photo is refused and points to the first screening</t>
  </si>
  <si>
    <t>TC_04_10</t>
  </si>
  <si>
    <t>Database allows one screening per photo</t>
  </si>
  <si>
    <t>A second screening of the same photo is blocked by the database itself</t>
  </si>
  <si>
    <t>TC_04_11</t>
  </si>
  <si>
    <t>Skipped eye and today's visit</t>
  </si>
  <si>
    <t>Skipping an eye needs a reason; the skipped eye shows in today's visit with no result</t>
  </si>
  <si>
    <t>TC_04_12</t>
  </si>
  <si>
    <t>History search</t>
  </si>
  <si>
    <t>Searching 'lopez' finds only that patient's screenings; filtering by patient works</t>
  </si>
  <si>
    <t>TC_04_13</t>
  </si>
  <si>
    <t>Exports are PDFs</t>
  </si>
  <si>
    <t>Screening and patient exports download as PDF files</t>
  </si>
  <si>
    <t>TC_04_14</t>
  </si>
  <si>
    <t>Unknown IDs return 404</t>
  </si>
  <si>
    <t>Unknown patient, screening, heatmap and image IDs return 404</t>
  </si>
  <si>
    <t>US_05 As a screening technician, I want the app to stop photos that can't be screened and tell me why, so I don't get a result from an unusable file.</t>
  </si>
  <si>
    <t>TC_05_01</t>
  </si>
  <si>
    <t>Fundus-like photo passes</t>
  </si>
  <si>
    <t>1. Run: pytest tests/test_quality_check.py -v</t>
  </si>
  <si>
    <t>passed</t>
  </si>
  <si>
    <t>TC_05_02</t>
  </si>
  <si>
    <t>Fundus circle cut off top and bottom passes (ORIGA style)</t>
  </si>
  <si>
    <t>TC_05_03</t>
  </si>
  <si>
    <t>Photo with white border passes</t>
  </si>
  <si>
    <t>TC_05_04</t>
  </si>
  <si>
    <t>Dim, hazy photo passes (cataract look)</t>
  </si>
  <si>
    <t>TC_05_05</t>
  </si>
  <si>
    <t>Blurry photo passes</t>
  </si>
  <si>
    <t>TC_05_06</t>
  </si>
  <si>
    <t>Real ODIR photos pass (incl. washed-out cataract, very dark glaucoma)</t>
  </si>
  <si>
    <t>TC_05_07</t>
  </si>
  <si>
    <t>Unreadable bytes fail</t>
  </si>
  <si>
    <t>failed: unreadable</t>
  </si>
  <si>
    <t>TC_05_08</t>
  </si>
  <si>
    <t>Empty file fails</t>
  </si>
  <si>
    <t>TC_05_09</t>
  </si>
  <si>
    <t>Truncated JPEG fails</t>
  </si>
  <si>
    <t>TC_05_10</t>
  </si>
  <si>
    <t>Almost black photo fails</t>
  </si>
  <si>
    <t>failed: too dark</t>
  </si>
  <si>
    <t>TC_05_11</t>
  </si>
  <si>
    <t>Blank white photo fails</t>
  </si>
  <si>
    <t>failed: not fundus</t>
  </si>
  <si>
    <t>TC_05_12</t>
  </si>
  <si>
    <t>Blank grey photo fails</t>
  </si>
  <si>
    <t>TC_05_13</t>
  </si>
  <si>
    <t>Text document fails</t>
  </si>
  <si>
    <t>TC_05_14</t>
  </si>
  <si>
    <t>Random noise fails</t>
  </si>
  <si>
    <t>TC_05_15</t>
  </si>
  <si>
    <t>Blue photo fails</t>
  </si>
  <si>
    <t>TC_05_16</t>
  </si>
  <si>
    <t>Tight crop without camera border fails</t>
  </si>
  <si>
    <t>TC_05_17</t>
  </si>
  <si>
    <t>Every failure reason has a message for the user</t>
  </si>
  <si>
    <t>unreadable, too dark, not fundus all have text</t>
  </si>
  <si>
    <t>US_06 As the development team, we want cataract-only, glaucoma-only and shared two-head models trained with identical settings, so we can test whether sharing the backbone helps.</t>
  </si>
  <si>
    <t>TC_06_01</t>
  </si>
  <si>
    <t>Glaucoma-only training smoke test</t>
  </si>
  <si>
    <t>1. Copy of main (efe7789) with Preprocessed/ODIR.
2. Run: python scripts/test_train_glaucoma.py</t>
  </si>
  <si>
    <t>Glaucoma Task 11 smoke test passed</t>
  </si>
  <si>
    <t>TC_06_02</t>
  </si>
  <si>
    <t>Cataract-only training smoke test</t>
  </si>
  <si>
    <t>1. Copy of main (efe7789) with Preprocessed/ODIR.
2. Run: python scripts/test_train_cataract.py</t>
  </si>
  <si>
    <t>Cataract Task 11 smoke test passed</t>
  </si>
  <si>
    <t>TC_06_03</t>
  </si>
  <si>
    <t>Shared two-head training pipeline</t>
  </si>
  <si>
    <t>1. Copy of main (efe7789) with Preprocessed/ODIR.
2. Run test_training_pipeline() from scripts/test_train_dual_task11.py (synthetic data; the full script also needs the 3 shared checkpoints downloaded).</t>
  </si>
  <si>
    <t>Two-head training, evaluation, mean AUROC, reload and results update all pass</t>
  </si>
  <si>
    <t>TC_06_04</t>
  </si>
  <si>
    <t>Nine models are saved</t>
  </si>
  <si>
    <t>1. Open the GitHub releases task11-cataract-checkpoints, task11-glaucoma-checkpoints and task11-shared-checkpoints.</t>
  </si>
  <si>
    <t>9 checkpoint files: 3 model types x seeds 42, 43, 44</t>
  </si>
  <si>
    <t>TC_06_05</t>
  </si>
  <si>
    <t>Checkpoints match the recorded hashes</t>
  </si>
  <si>
    <t>1. Compare the SHA-256 column of results/task11/README.md with the release file digests.</t>
  </si>
  <si>
    <t>9 of 9 match</t>
  </si>
  <si>
    <t>TC_06_06</t>
  </si>
  <si>
    <t>Best epoch matches the training history</t>
  </si>
  <si>
    <t>1. For each model type, compare results/task11/*_results.csv with *_training_history.csv.</t>
  </si>
  <si>
    <t>Best epoch and AUROC match for all 9 runs (glaucoma history is rounded to 4 decimals); each run stops 5 epochs after its best epoch</t>
  </si>
  <si>
    <t>TC_06_07</t>
  </si>
  <si>
    <t>Same settings for all nine runs</t>
  </si>
  <si>
    <t>1. Read learning_rate, batch_size, max_epochs and patience in the three *_results.csv files.</t>
  </si>
  <si>
    <t>Learning rate 0.0001, batch 8, max 30 epochs, patience 5 for all 9 runs</t>
  </si>
  <si>
    <t>TC_06_08</t>
  </si>
  <si>
    <t>Only the training split is used to learn; no external data</t>
  </si>
  <si>
    <t>1. Read scripts/fundus_dataset.py, train_glaucoma.py, train_cataract.py and train_dual_task11.py.</t>
  </si>
  <si>
    <t>Training reads only the train split, validation decides when to stop, images come from Preprocessed/ODIR; no external dataset in any training 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</si>
</sst>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theme="1"/>
      <name val="Montserrat"/>
    </font>
    <font>
      <b/>
      <sz val="14.0"/>
      <color rgb="FF2A63C9"/>
      <name val="Montserrat"/>
    </font>
    <font>
      <sz val="11.0"/>
      <color theme="1"/>
      <name val="Calibri"/>
    </font>
    <font>
      <b/>
      <sz val="11.0"/>
      <color rgb="FFFFFFFF"/>
      <name val="Montserrat"/>
    </font>
    <font>
      <b/>
      <sz val="13.0"/>
      <color rgb="FF2A63C9"/>
      <name val="Montserrat"/>
    </font>
    <font>
      <b/>
      <sz val="11.0"/>
      <color rgb="FF36353C"/>
      <name val="Montserrat"/>
    </font>
    <font>
      <b/>
      <sz val="10.0"/>
      <color rgb="FF36353C"/>
      <name val="Montserrat"/>
    </font>
    <font>
      <b/>
      <color rgb="FFFFFFFF"/>
      <name val="Montserrat"/>
    </font>
    <font>
      <sz val="10.0"/>
      <color rgb="FF36353C"/>
      <name val="Montserrat"/>
    </font>
    <font>
      <sz val="9.0"/>
      <color rgb="FF36353C"/>
      <name val="Montserrat"/>
    </font>
    <font>
      <b/>
      <sz val="9.0"/>
      <color rgb="FF2A63C9"/>
      <name val="Montserrat"/>
    </font>
    <font>
      <b/>
      <sz val="9.0"/>
      <color rgb="FF2E7D32"/>
      <name val="Montserrat"/>
    </font>
    <font>
      <b/>
      <sz val="10.0"/>
      <color rgb="FF2A63C9"/>
      <name val="Montserrat"/>
    </font>
    <font>
      <color theme="1"/>
      <name val="Calibri"/>
      <scheme val="minor"/>
    </font>
    <font>
      <i/>
      <sz val="9.0"/>
      <color rgb="FF6E6C8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A63C9"/>
        <bgColor rgb="FF2A63C9"/>
      </patternFill>
    </fill>
    <fill>
      <patternFill patternType="solid">
        <fgColor rgb="FFE7EFFB"/>
        <bgColor rgb="FFE7EFFB"/>
      </patternFill>
    </fill>
  </fills>
  <borders count="2">
    <border/>
    <border>
      <left style="thin">
        <color rgb="FFD4E1F5"/>
      </left>
      <right style="thin">
        <color rgb="FFD4E1F5"/>
      </right>
      <top style="thin">
        <color rgb="FFD4E1F5"/>
      </top>
      <bottom style="thin">
        <color rgb="FFD4E1F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left" vertical="center"/>
    </xf>
    <xf borderId="0" fillId="0" fontId="3" numFmtId="0" xfId="0" applyAlignment="1" applyFont="1">
      <alignment vertical="top"/>
    </xf>
    <xf borderId="0" fillId="0" fontId="5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bottom"/>
    </xf>
    <xf borderId="0" fillId="0" fontId="6" numFmtId="0" xfId="0" applyAlignment="1" applyFont="1">
      <alignment shrinkToFit="0" vertical="top" wrapText="1"/>
    </xf>
    <xf borderId="1" fillId="0" fontId="7" numFmtId="0" xfId="0" applyAlignment="1" applyBorder="1" applyFont="1">
      <alignment horizontal="left" vertical="center"/>
    </xf>
    <xf borderId="1" fillId="2" fontId="8" numFmtId="0" xfId="0" applyAlignment="1" applyBorder="1" applyFill="1" applyFont="1">
      <alignment horizontal="center" shrinkToFit="0" vertical="top" wrapText="1"/>
    </xf>
    <xf borderId="1" fillId="0" fontId="9" numFmtId="0" xfId="0" applyAlignment="1" applyBorder="1" applyFont="1">
      <alignment horizontal="left" vertical="center"/>
    </xf>
    <xf borderId="0" fillId="0" fontId="6" numFmtId="0" xfId="0" applyAlignment="1" applyFont="1">
      <alignment shrinkToFit="0" vertical="bottom" wrapText="1"/>
    </xf>
    <xf borderId="1" fillId="0" fontId="10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top" wrapText="1"/>
    </xf>
    <xf borderId="1" fillId="3" fontId="13" numFmtId="0" xfId="0" applyAlignment="1" applyBorder="1" applyFill="1" applyFont="1">
      <alignment horizontal="left"/>
    </xf>
    <xf borderId="1" fillId="3" fontId="13" numFmtId="0" xfId="0" applyAlignment="1" applyBorder="1" applyFill="1" applyFont="1">
      <alignment horizontal="center"/>
    </xf>
    <xf borderId="0" fillId="0" fontId="14" numFmtId="0" xfId="0" applyFont="1"/>
    <xf borderId="0" fillId="0" fontId="15" numFmtId="0" xfId="0" applyFont="1"/>
    <xf borderId="1" fillId="0" fontId="10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30.0"/>
    <col customWidth="1" min="3" max="3" width="52.0"/>
    <col customWidth="1" min="4" max="4" width="44.0"/>
    <col customWidth="1" min="5" max="5" width="16.43"/>
    <col customWidth="1" min="6" max="6" width="14.86"/>
    <col customWidth="1" min="7" max="7" width="19.29"/>
    <col customWidth="1" min="8" max="26" width="8.71"/>
  </cols>
  <sheetData>
    <row r="1" ht="27.75" customHeight="1">
      <c r="A1" s="6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/>
      <c r="B2" s="8"/>
      <c r="C2" s="8"/>
      <c r="D2" s="8"/>
      <c r="E2" s="8"/>
      <c r="F2" s="8"/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 t="s">
        <v>13</v>
      </c>
      <c r="B4" s="16" t="s">
        <v>15</v>
      </c>
      <c r="C4" s="16" t="s">
        <v>16</v>
      </c>
      <c r="D4" s="16" t="s">
        <v>17</v>
      </c>
      <c r="E4" s="16" t="s">
        <v>18</v>
      </c>
      <c r="F4" s="16" t="s">
        <v>27</v>
      </c>
      <c r="G4" s="16" t="s">
        <v>19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 t="s">
        <v>32</v>
      </c>
      <c r="B5" s="15" t="s">
        <v>37</v>
      </c>
      <c r="C5" s="15" t="s">
        <v>38</v>
      </c>
      <c r="D5" s="15" t="s">
        <v>39</v>
      </c>
      <c r="E5" s="20" t="s">
        <v>25</v>
      </c>
      <c r="F5" s="18" t="s">
        <v>48</v>
      </c>
      <c r="G5" s="18" t="s">
        <v>52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58</v>
      </c>
      <c r="B6" s="15" t="s">
        <v>61</v>
      </c>
      <c r="C6" s="15" t="s">
        <v>64</v>
      </c>
      <c r="D6" s="15" t="s">
        <v>65</v>
      </c>
      <c r="E6" s="20" t="s">
        <v>25</v>
      </c>
      <c r="F6" s="18" t="s">
        <v>48</v>
      </c>
      <c r="G6" s="18" t="s">
        <v>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78</v>
      </c>
      <c r="B7" s="15" t="s">
        <v>79</v>
      </c>
      <c r="C7" s="15" t="s">
        <v>80</v>
      </c>
      <c r="D7" s="15" t="s">
        <v>81</v>
      </c>
      <c r="E7" s="20" t="s">
        <v>25</v>
      </c>
      <c r="F7" s="18" t="s">
        <v>48</v>
      </c>
      <c r="G7" s="18" t="s">
        <v>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86</v>
      </c>
      <c r="B8" s="15" t="s">
        <v>87</v>
      </c>
      <c r="C8" s="15" t="s">
        <v>88</v>
      </c>
      <c r="D8" s="15" t="s">
        <v>89</v>
      </c>
      <c r="E8" s="20" t="s">
        <v>25</v>
      </c>
      <c r="F8" s="18" t="s">
        <v>48</v>
      </c>
      <c r="G8" s="18" t="s">
        <v>52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 t="s">
        <v>92</v>
      </c>
      <c r="B9" s="15" t="s">
        <v>93</v>
      </c>
      <c r="C9" s="15" t="s">
        <v>94</v>
      </c>
      <c r="D9" s="15" t="s">
        <v>95</v>
      </c>
      <c r="E9" s="20" t="s">
        <v>25</v>
      </c>
      <c r="F9" s="18" t="s">
        <v>48</v>
      </c>
      <c r="G9" s="18" t="s">
        <v>52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 t="s">
        <v>96</v>
      </c>
      <c r="B10" s="15" t="s">
        <v>97</v>
      </c>
      <c r="C10" s="15" t="s">
        <v>98</v>
      </c>
      <c r="D10" s="15" t="s">
        <v>99</v>
      </c>
      <c r="E10" s="20" t="s">
        <v>25</v>
      </c>
      <c r="F10" s="18" t="s">
        <v>48</v>
      </c>
      <c r="G10" s="18" t="s">
        <v>52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100</v>
      </c>
      <c r="B11" s="15" t="s">
        <v>101</v>
      </c>
      <c r="C11" s="15" t="s">
        <v>102</v>
      </c>
      <c r="D11" s="15" t="s">
        <v>103</v>
      </c>
      <c r="E11" s="20" t="s">
        <v>25</v>
      </c>
      <c r="F11" s="18" t="s">
        <v>48</v>
      </c>
      <c r="G11" s="18" t="s">
        <v>52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 t="s">
        <v>104</v>
      </c>
      <c r="B12" s="15" t="s">
        <v>105</v>
      </c>
      <c r="C12" s="15" t="s">
        <v>106</v>
      </c>
      <c r="D12" s="15" t="s">
        <v>107</v>
      </c>
      <c r="E12" s="20" t="s">
        <v>25</v>
      </c>
      <c r="F12" s="18" t="s">
        <v>48</v>
      </c>
      <c r="G12" s="18" t="s">
        <v>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 t="s">
        <v>110</v>
      </c>
      <c r="B13" s="15" t="s">
        <v>111</v>
      </c>
      <c r="C13" s="15" t="s">
        <v>106</v>
      </c>
      <c r="D13" s="15" t="s">
        <v>112</v>
      </c>
      <c r="E13" s="20" t="s">
        <v>25</v>
      </c>
      <c r="F13" s="18" t="s">
        <v>48</v>
      </c>
      <c r="G13" s="18" t="s">
        <v>52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 t="s">
        <v>113</v>
      </c>
      <c r="B14" s="15" t="s">
        <v>114</v>
      </c>
      <c r="C14" s="15" t="s">
        <v>106</v>
      </c>
      <c r="D14" s="15" t="s">
        <v>115</v>
      </c>
      <c r="E14" s="20" t="s">
        <v>25</v>
      </c>
      <c r="F14" s="18" t="s">
        <v>48</v>
      </c>
      <c r="G14" s="18" t="s">
        <v>52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116</v>
      </c>
      <c r="B15" s="15" t="s">
        <v>117</v>
      </c>
      <c r="C15" s="15" t="s">
        <v>118</v>
      </c>
      <c r="D15" s="15" t="s">
        <v>119</v>
      </c>
      <c r="E15" s="20" t="s">
        <v>25</v>
      </c>
      <c r="F15" s="18" t="s">
        <v>48</v>
      </c>
      <c r="G15" s="18" t="s">
        <v>52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 t="s">
        <v>120</v>
      </c>
      <c r="B16" s="15" t="s">
        <v>121</v>
      </c>
      <c r="C16" s="15" t="s">
        <v>122</v>
      </c>
      <c r="D16" s="15" t="s">
        <v>123</v>
      </c>
      <c r="E16" s="20" t="s">
        <v>25</v>
      </c>
      <c r="F16" s="18" t="s">
        <v>48</v>
      </c>
      <c r="G16" s="18" t="s">
        <v>52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 t="s">
        <v>126</v>
      </c>
      <c r="B17" s="15" t="s">
        <v>127</v>
      </c>
      <c r="C17" s="15" t="s">
        <v>128</v>
      </c>
      <c r="D17" s="15" t="s">
        <v>129</v>
      </c>
      <c r="E17" s="20" t="s">
        <v>25</v>
      </c>
      <c r="F17" s="18" t="s">
        <v>48</v>
      </c>
      <c r="G17" s="18" t="s">
        <v>52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130</v>
      </c>
      <c r="B18" s="15" t="s">
        <v>131</v>
      </c>
      <c r="C18" s="15" t="s">
        <v>132</v>
      </c>
      <c r="D18" s="15" t="s">
        <v>133</v>
      </c>
      <c r="E18" s="20" t="s">
        <v>25</v>
      </c>
      <c r="F18" s="18" t="s">
        <v>48</v>
      </c>
      <c r="G18" s="18" t="s">
        <v>52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 t="s">
        <v>134</v>
      </c>
      <c r="B19" s="15" t="s">
        <v>135</v>
      </c>
      <c r="C19" s="15" t="s">
        <v>136</v>
      </c>
      <c r="D19" s="15" t="s">
        <v>137</v>
      </c>
      <c r="E19" s="20" t="s">
        <v>25</v>
      </c>
      <c r="F19" s="18" t="s">
        <v>48</v>
      </c>
      <c r="G19" s="18" t="s">
        <v>52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/>
      <c r="B20" s="8"/>
      <c r="C20" s="8"/>
      <c r="D20" s="8"/>
      <c r="E20" s="8"/>
      <c r="F20" s="8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" t="s">
        <v>140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6" t="s">
        <v>13</v>
      </c>
      <c r="B22" s="16" t="s">
        <v>15</v>
      </c>
      <c r="C22" s="16" t="s">
        <v>16</v>
      </c>
      <c r="D22" s="16" t="s">
        <v>17</v>
      </c>
      <c r="E22" s="16" t="s">
        <v>18</v>
      </c>
      <c r="F22" s="16" t="s">
        <v>27</v>
      </c>
      <c r="G22" s="16" t="s">
        <v>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5" t="s">
        <v>141</v>
      </c>
      <c r="B23" s="15" t="s">
        <v>142</v>
      </c>
      <c r="C23" s="15" t="s">
        <v>143</v>
      </c>
      <c r="D23" s="15" t="s">
        <v>144</v>
      </c>
      <c r="E23" s="20" t="s">
        <v>25</v>
      </c>
      <c r="F23" s="18" t="s">
        <v>48</v>
      </c>
      <c r="G23" s="18" t="s">
        <v>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8"/>
      <c r="B24" s="8"/>
      <c r="C24" s="8"/>
      <c r="D24" s="8"/>
      <c r="E24" s="8"/>
      <c r="F24" s="8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" t="s">
        <v>145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6" t="s">
        <v>13</v>
      </c>
      <c r="B26" s="16" t="s">
        <v>15</v>
      </c>
      <c r="C26" s="16" t="s">
        <v>16</v>
      </c>
      <c r="D26" s="16" t="s">
        <v>17</v>
      </c>
      <c r="E26" s="16" t="s">
        <v>18</v>
      </c>
      <c r="F26" s="16" t="s">
        <v>27</v>
      </c>
      <c r="G26" s="16" t="s">
        <v>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5" t="s">
        <v>148</v>
      </c>
      <c r="B27" s="15" t="s">
        <v>149</v>
      </c>
      <c r="C27" s="15" t="s">
        <v>150</v>
      </c>
      <c r="D27" s="15" t="s">
        <v>151</v>
      </c>
      <c r="E27" s="20" t="s">
        <v>25</v>
      </c>
      <c r="F27" s="18" t="s">
        <v>48</v>
      </c>
      <c r="G27" s="18" t="s">
        <v>52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5" t="s">
        <v>152</v>
      </c>
      <c r="B28" s="15" t="s">
        <v>153</v>
      </c>
      <c r="C28" s="15" t="s">
        <v>106</v>
      </c>
      <c r="D28" s="15" t="s">
        <v>154</v>
      </c>
      <c r="E28" s="20" t="s">
        <v>25</v>
      </c>
      <c r="F28" s="18" t="s">
        <v>48</v>
      </c>
      <c r="G28" s="18" t="s">
        <v>52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5" t="s">
        <v>155</v>
      </c>
      <c r="B29" s="15" t="s">
        <v>156</v>
      </c>
      <c r="C29" s="15" t="s">
        <v>106</v>
      </c>
      <c r="D29" s="15" t="s">
        <v>157</v>
      </c>
      <c r="E29" s="20" t="s">
        <v>25</v>
      </c>
      <c r="F29" s="18" t="s">
        <v>48</v>
      </c>
      <c r="G29" s="18" t="s">
        <v>52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5" t="s">
        <v>158</v>
      </c>
      <c r="B30" s="15" t="s">
        <v>159</v>
      </c>
      <c r="C30" s="15" t="s">
        <v>106</v>
      </c>
      <c r="D30" s="15" t="s">
        <v>162</v>
      </c>
      <c r="E30" s="20" t="s">
        <v>25</v>
      </c>
      <c r="F30" s="18" t="s">
        <v>48</v>
      </c>
      <c r="G30" s="18" t="s">
        <v>52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5" t="s">
        <v>163</v>
      </c>
      <c r="B31" s="15" t="s">
        <v>164</v>
      </c>
      <c r="C31" s="15" t="s">
        <v>165</v>
      </c>
      <c r="D31" s="15" t="s">
        <v>166</v>
      </c>
      <c r="E31" s="20" t="s">
        <v>25</v>
      </c>
      <c r="F31" s="18" t="s">
        <v>48</v>
      </c>
      <c r="G31" s="18" t="s">
        <v>52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5" t="s">
        <v>167</v>
      </c>
      <c r="B32" s="15" t="s">
        <v>168</v>
      </c>
      <c r="C32" s="15" t="s">
        <v>169</v>
      </c>
      <c r="D32" s="15" t="s">
        <v>170</v>
      </c>
      <c r="E32" s="20" t="s">
        <v>25</v>
      </c>
      <c r="F32" s="18" t="s">
        <v>48</v>
      </c>
      <c r="G32" s="18" t="s">
        <v>52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5" t="s">
        <v>171</v>
      </c>
      <c r="B33" s="15" t="s">
        <v>172</v>
      </c>
      <c r="C33" s="15" t="s">
        <v>173</v>
      </c>
      <c r="D33" s="15" t="s">
        <v>174</v>
      </c>
      <c r="E33" s="20" t="s">
        <v>25</v>
      </c>
      <c r="F33" s="18" t="s">
        <v>48</v>
      </c>
      <c r="G33" s="18" t="s">
        <v>52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5" t="s">
        <v>175</v>
      </c>
      <c r="B34" s="15" t="s">
        <v>176</v>
      </c>
      <c r="C34" s="15" t="s">
        <v>177</v>
      </c>
      <c r="D34" s="15" t="s">
        <v>178</v>
      </c>
      <c r="E34" s="20" t="s">
        <v>25</v>
      </c>
      <c r="F34" s="18" t="s">
        <v>179</v>
      </c>
      <c r="G34" s="18" t="s">
        <v>52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5" t="s">
        <v>180</v>
      </c>
      <c r="B35" s="15" t="s">
        <v>181</v>
      </c>
      <c r="C35" s="15" t="s">
        <v>182</v>
      </c>
      <c r="D35" s="15" t="s">
        <v>183</v>
      </c>
      <c r="E35" s="20" t="s">
        <v>25</v>
      </c>
      <c r="F35" s="18" t="s">
        <v>179</v>
      </c>
      <c r="G35" s="18" t="s">
        <v>52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5" t="s">
        <v>184</v>
      </c>
      <c r="B36" s="15" t="s">
        <v>185</v>
      </c>
      <c r="C36" s="15" t="s">
        <v>186</v>
      </c>
      <c r="D36" s="15" t="s">
        <v>187</v>
      </c>
      <c r="E36" s="20" t="s">
        <v>25</v>
      </c>
      <c r="F36" s="18" t="s">
        <v>188</v>
      </c>
      <c r="G36" s="18" t="s">
        <v>52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5" t="s">
        <v>189</v>
      </c>
      <c r="B37" s="15" t="s">
        <v>190</v>
      </c>
      <c r="C37" s="15" t="s">
        <v>191</v>
      </c>
      <c r="D37" s="15" t="s">
        <v>192</v>
      </c>
      <c r="E37" s="20" t="s">
        <v>25</v>
      </c>
      <c r="F37" s="18" t="s">
        <v>188</v>
      </c>
      <c r="G37" s="18" t="s">
        <v>52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5" t="s">
        <v>193</v>
      </c>
      <c r="B38" s="15" t="s">
        <v>195</v>
      </c>
      <c r="C38" s="15" t="s">
        <v>196</v>
      </c>
      <c r="D38" s="15" t="s">
        <v>197</v>
      </c>
      <c r="E38" s="20" t="s">
        <v>25</v>
      </c>
      <c r="F38" s="18" t="s">
        <v>198</v>
      </c>
      <c r="G38" s="18" t="s">
        <v>199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5" t="s">
        <v>200</v>
      </c>
      <c r="B39" s="15" t="s">
        <v>201</v>
      </c>
      <c r="C39" s="15" t="s">
        <v>202</v>
      </c>
      <c r="D39" s="15" t="s">
        <v>203</v>
      </c>
      <c r="E39" s="20" t="s">
        <v>25</v>
      </c>
      <c r="F39" s="18" t="s">
        <v>204</v>
      </c>
      <c r="G39" s="18" t="s">
        <v>52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5" t="s">
        <v>205</v>
      </c>
      <c r="B40" s="15" t="s">
        <v>206</v>
      </c>
      <c r="C40" s="15" t="s">
        <v>207</v>
      </c>
      <c r="D40" s="15" t="s">
        <v>208</v>
      </c>
      <c r="E40" s="20" t="s">
        <v>25</v>
      </c>
      <c r="F40" s="18" t="s">
        <v>204</v>
      </c>
      <c r="G40" s="18" t="s">
        <v>52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5" t="s">
        <v>209</v>
      </c>
      <c r="B41" s="15" t="s">
        <v>210</v>
      </c>
      <c r="C41" s="15" t="s">
        <v>211</v>
      </c>
      <c r="D41" s="15" t="s">
        <v>212</v>
      </c>
      <c r="E41" s="20" t="s">
        <v>25</v>
      </c>
      <c r="F41" s="18" t="s">
        <v>204</v>
      </c>
      <c r="G41" s="18" t="s">
        <v>213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8"/>
      <c r="B42" s="8"/>
      <c r="C42" s="8"/>
      <c r="D42" s="8"/>
      <c r="E42" s="8"/>
      <c r="F42" s="8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3" t="s">
        <v>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6" t="s">
        <v>13</v>
      </c>
      <c r="B44" s="16" t="s">
        <v>15</v>
      </c>
      <c r="C44" s="16" t="s">
        <v>16</v>
      </c>
      <c r="D44" s="16" t="s">
        <v>17</v>
      </c>
      <c r="E44" s="16" t="s">
        <v>18</v>
      </c>
      <c r="F44" s="16" t="s">
        <v>27</v>
      </c>
      <c r="G44" s="16" t="s">
        <v>19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5" t="s">
        <v>214</v>
      </c>
      <c r="B45" s="15" t="s">
        <v>215</v>
      </c>
      <c r="C45" s="15" t="s">
        <v>216</v>
      </c>
      <c r="D45" s="15" t="s">
        <v>217</v>
      </c>
      <c r="E45" s="20" t="s">
        <v>25</v>
      </c>
      <c r="F45" s="18" t="s">
        <v>218</v>
      </c>
      <c r="G45" s="18" t="s">
        <v>52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5" t="s">
        <v>219</v>
      </c>
      <c r="B46" s="15" t="s">
        <v>220</v>
      </c>
      <c r="C46" s="15" t="s">
        <v>216</v>
      </c>
      <c r="D46" s="15" t="s">
        <v>221</v>
      </c>
      <c r="E46" s="20" t="s">
        <v>25</v>
      </c>
      <c r="F46" s="18" t="s">
        <v>218</v>
      </c>
      <c r="G46" s="18" t="s">
        <v>52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5" t="s">
        <v>222</v>
      </c>
      <c r="B47" s="15" t="s">
        <v>223</v>
      </c>
      <c r="C47" s="15" t="s">
        <v>216</v>
      </c>
      <c r="D47" s="15" t="s">
        <v>224</v>
      </c>
      <c r="E47" s="20" t="s">
        <v>25</v>
      </c>
      <c r="F47" s="18" t="s">
        <v>218</v>
      </c>
      <c r="G47" s="18" t="s">
        <v>52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5" t="s">
        <v>225</v>
      </c>
      <c r="B48" s="15" t="s">
        <v>226</v>
      </c>
      <c r="C48" s="15" t="s">
        <v>216</v>
      </c>
      <c r="D48" s="15" t="s">
        <v>227</v>
      </c>
      <c r="E48" s="20" t="s">
        <v>25</v>
      </c>
      <c r="F48" s="18" t="s">
        <v>218</v>
      </c>
      <c r="G48" s="18" t="s">
        <v>52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5" t="s">
        <v>228</v>
      </c>
      <c r="B49" s="15" t="s">
        <v>229</v>
      </c>
      <c r="C49" s="15" t="s">
        <v>216</v>
      </c>
      <c r="D49" s="15" t="s">
        <v>230</v>
      </c>
      <c r="E49" s="20" t="s">
        <v>25</v>
      </c>
      <c r="F49" s="18" t="s">
        <v>218</v>
      </c>
      <c r="G49" s="18" t="s">
        <v>52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5" t="s">
        <v>231</v>
      </c>
      <c r="B50" s="15" t="s">
        <v>232</v>
      </c>
      <c r="C50" s="15" t="s">
        <v>216</v>
      </c>
      <c r="D50" s="15" t="s">
        <v>233</v>
      </c>
      <c r="E50" s="20" t="s">
        <v>25</v>
      </c>
      <c r="F50" s="18" t="s">
        <v>218</v>
      </c>
      <c r="G50" s="18" t="s">
        <v>52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5" t="s">
        <v>234</v>
      </c>
      <c r="B51" s="15" t="s">
        <v>235</v>
      </c>
      <c r="C51" s="15" t="s">
        <v>216</v>
      </c>
      <c r="D51" s="15" t="s">
        <v>236</v>
      </c>
      <c r="E51" s="20" t="s">
        <v>25</v>
      </c>
      <c r="F51" s="18" t="s">
        <v>218</v>
      </c>
      <c r="G51" s="18" t="s">
        <v>52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5" t="s">
        <v>237</v>
      </c>
      <c r="B52" s="15" t="s">
        <v>238</v>
      </c>
      <c r="C52" s="15" t="s">
        <v>216</v>
      </c>
      <c r="D52" s="15" t="s">
        <v>239</v>
      </c>
      <c r="E52" s="20" t="s">
        <v>25</v>
      </c>
      <c r="F52" s="18" t="s">
        <v>218</v>
      </c>
      <c r="G52" s="18" t="s">
        <v>240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5" t="s">
        <v>241</v>
      </c>
      <c r="B53" s="15" t="s">
        <v>242</v>
      </c>
      <c r="C53" s="15" t="s">
        <v>216</v>
      </c>
      <c r="D53" s="15" t="s">
        <v>243</v>
      </c>
      <c r="E53" s="20" t="s">
        <v>25</v>
      </c>
      <c r="F53" s="18" t="s">
        <v>218</v>
      </c>
      <c r="G53" s="18" t="s">
        <v>240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5" t="s">
        <v>244</v>
      </c>
      <c r="B54" s="15" t="s">
        <v>245</v>
      </c>
      <c r="C54" s="15" t="s">
        <v>216</v>
      </c>
      <c r="D54" s="15" t="s">
        <v>246</v>
      </c>
      <c r="E54" s="20" t="s">
        <v>25</v>
      </c>
      <c r="F54" s="18" t="s">
        <v>218</v>
      </c>
      <c r="G54" s="18" t="s">
        <v>240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5" t="s">
        <v>247</v>
      </c>
      <c r="B55" s="15" t="s">
        <v>248</v>
      </c>
      <c r="C55" s="15" t="s">
        <v>216</v>
      </c>
      <c r="D55" s="15" t="s">
        <v>249</v>
      </c>
      <c r="E55" s="20" t="s">
        <v>25</v>
      </c>
      <c r="F55" s="18" t="s">
        <v>218</v>
      </c>
      <c r="G55" s="18" t="s">
        <v>52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5" t="s">
        <v>250</v>
      </c>
      <c r="B56" s="15" t="s">
        <v>251</v>
      </c>
      <c r="C56" s="15" t="s">
        <v>216</v>
      </c>
      <c r="D56" s="15" t="s">
        <v>252</v>
      </c>
      <c r="E56" s="20" t="s">
        <v>25</v>
      </c>
      <c r="F56" s="18" t="s">
        <v>218</v>
      </c>
      <c r="G56" s="18" t="s">
        <v>52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5" t="s">
        <v>253</v>
      </c>
      <c r="B57" s="15" t="s">
        <v>254</v>
      </c>
      <c r="C57" s="15" t="s">
        <v>216</v>
      </c>
      <c r="D57" s="15" t="s">
        <v>255</v>
      </c>
      <c r="E57" s="20" t="s">
        <v>25</v>
      </c>
      <c r="F57" s="18" t="s">
        <v>218</v>
      </c>
      <c r="G57" s="18" t="s">
        <v>52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5" t="s">
        <v>256</v>
      </c>
      <c r="B58" s="15" t="s">
        <v>257</v>
      </c>
      <c r="C58" s="15" t="s">
        <v>216</v>
      </c>
      <c r="D58" s="15" t="s">
        <v>258</v>
      </c>
      <c r="E58" s="20" t="s">
        <v>25</v>
      </c>
      <c r="F58" s="18" t="s">
        <v>218</v>
      </c>
      <c r="G58" s="18" t="s">
        <v>52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8"/>
      <c r="B59" s="8"/>
      <c r="C59" s="8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3" t="s">
        <v>259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6" t="s">
        <v>13</v>
      </c>
      <c r="B61" s="16" t="s">
        <v>15</v>
      </c>
      <c r="C61" s="16" t="s">
        <v>16</v>
      </c>
      <c r="D61" s="16" t="s">
        <v>17</v>
      </c>
      <c r="E61" s="16" t="s">
        <v>18</v>
      </c>
      <c r="F61" s="16" t="s">
        <v>27</v>
      </c>
      <c r="G61" s="16" t="s">
        <v>19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5" t="s">
        <v>260</v>
      </c>
      <c r="B62" s="15" t="s">
        <v>261</v>
      </c>
      <c r="C62" s="15" t="s">
        <v>262</v>
      </c>
      <c r="D62" s="15" t="s">
        <v>263</v>
      </c>
      <c r="E62" s="20" t="s">
        <v>25</v>
      </c>
      <c r="F62" s="18" t="s">
        <v>48</v>
      </c>
      <c r="G62" s="18" t="s">
        <v>52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5" t="s">
        <v>264</v>
      </c>
      <c r="B63" s="15" t="s">
        <v>265</v>
      </c>
      <c r="C63" s="15" t="s">
        <v>262</v>
      </c>
      <c r="D63" s="15" t="s">
        <v>263</v>
      </c>
      <c r="E63" s="20" t="s">
        <v>25</v>
      </c>
      <c r="F63" s="18" t="s">
        <v>48</v>
      </c>
      <c r="G63" s="18" t="s">
        <v>52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5" t="s">
        <v>266</v>
      </c>
      <c r="B64" s="15" t="s">
        <v>267</v>
      </c>
      <c r="C64" s="15" t="s">
        <v>262</v>
      </c>
      <c r="D64" s="15" t="s">
        <v>263</v>
      </c>
      <c r="E64" s="20" t="s">
        <v>25</v>
      </c>
      <c r="F64" s="18" t="s">
        <v>48</v>
      </c>
      <c r="G64" s="18" t="s">
        <v>52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5" t="s">
        <v>268</v>
      </c>
      <c r="B65" s="15" t="s">
        <v>269</v>
      </c>
      <c r="C65" s="15" t="s">
        <v>262</v>
      </c>
      <c r="D65" s="15" t="s">
        <v>263</v>
      </c>
      <c r="E65" s="20" t="s">
        <v>25</v>
      </c>
      <c r="F65" s="18" t="s">
        <v>48</v>
      </c>
      <c r="G65" s="18" t="s">
        <v>52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5" t="s">
        <v>270</v>
      </c>
      <c r="B66" s="15" t="s">
        <v>271</v>
      </c>
      <c r="C66" s="15" t="s">
        <v>262</v>
      </c>
      <c r="D66" s="15" t="s">
        <v>263</v>
      </c>
      <c r="E66" s="20" t="s">
        <v>25</v>
      </c>
      <c r="F66" s="18" t="s">
        <v>48</v>
      </c>
      <c r="G66" s="18" t="s">
        <v>52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5" t="s">
        <v>272</v>
      </c>
      <c r="B67" s="15" t="s">
        <v>273</v>
      </c>
      <c r="C67" s="15" t="s">
        <v>262</v>
      </c>
      <c r="D67" s="15" t="s">
        <v>263</v>
      </c>
      <c r="E67" s="20" t="s">
        <v>25</v>
      </c>
      <c r="F67" s="18" t="s">
        <v>48</v>
      </c>
      <c r="G67" s="18" t="s">
        <v>52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5" t="s">
        <v>274</v>
      </c>
      <c r="B68" s="15" t="s">
        <v>275</v>
      </c>
      <c r="C68" s="15" t="s">
        <v>262</v>
      </c>
      <c r="D68" s="15" t="s">
        <v>276</v>
      </c>
      <c r="E68" s="20" t="s">
        <v>25</v>
      </c>
      <c r="F68" s="18" t="s">
        <v>48</v>
      </c>
      <c r="G68" s="18" t="s">
        <v>52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5" t="s">
        <v>277</v>
      </c>
      <c r="B69" s="15" t="s">
        <v>278</v>
      </c>
      <c r="C69" s="15" t="s">
        <v>262</v>
      </c>
      <c r="D69" s="15" t="s">
        <v>276</v>
      </c>
      <c r="E69" s="20" t="s">
        <v>25</v>
      </c>
      <c r="F69" s="18" t="s">
        <v>48</v>
      </c>
      <c r="G69" s="18" t="s">
        <v>52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5" t="s">
        <v>279</v>
      </c>
      <c r="B70" s="15" t="s">
        <v>280</v>
      </c>
      <c r="C70" s="15" t="s">
        <v>262</v>
      </c>
      <c r="D70" s="15" t="s">
        <v>276</v>
      </c>
      <c r="E70" s="20" t="s">
        <v>25</v>
      </c>
      <c r="F70" s="18" t="s">
        <v>48</v>
      </c>
      <c r="G70" s="18" t="s">
        <v>52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5" t="s">
        <v>281</v>
      </c>
      <c r="B71" s="15" t="s">
        <v>282</v>
      </c>
      <c r="C71" s="15" t="s">
        <v>262</v>
      </c>
      <c r="D71" s="15" t="s">
        <v>283</v>
      </c>
      <c r="E71" s="20" t="s">
        <v>25</v>
      </c>
      <c r="F71" s="18" t="s">
        <v>48</v>
      </c>
      <c r="G71" s="18" t="s">
        <v>52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5" t="s">
        <v>284</v>
      </c>
      <c r="B72" s="15" t="s">
        <v>285</v>
      </c>
      <c r="C72" s="15" t="s">
        <v>262</v>
      </c>
      <c r="D72" s="15" t="s">
        <v>286</v>
      </c>
      <c r="E72" s="20" t="s">
        <v>25</v>
      </c>
      <c r="F72" s="18" t="s">
        <v>48</v>
      </c>
      <c r="G72" s="18" t="s">
        <v>52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5" t="s">
        <v>287</v>
      </c>
      <c r="B73" s="15" t="s">
        <v>288</v>
      </c>
      <c r="C73" s="15" t="s">
        <v>262</v>
      </c>
      <c r="D73" s="15" t="s">
        <v>286</v>
      </c>
      <c r="E73" s="20" t="s">
        <v>25</v>
      </c>
      <c r="F73" s="18" t="s">
        <v>48</v>
      </c>
      <c r="G73" s="18" t="s">
        <v>52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5" t="s">
        <v>289</v>
      </c>
      <c r="B74" s="15" t="s">
        <v>290</v>
      </c>
      <c r="C74" s="15" t="s">
        <v>262</v>
      </c>
      <c r="D74" s="15" t="s">
        <v>286</v>
      </c>
      <c r="E74" s="20" t="s">
        <v>25</v>
      </c>
      <c r="F74" s="18" t="s">
        <v>48</v>
      </c>
      <c r="G74" s="18" t="s">
        <v>52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5" t="s">
        <v>291</v>
      </c>
      <c r="B75" s="15" t="s">
        <v>292</v>
      </c>
      <c r="C75" s="15" t="s">
        <v>262</v>
      </c>
      <c r="D75" s="15" t="s">
        <v>286</v>
      </c>
      <c r="E75" s="20" t="s">
        <v>25</v>
      </c>
      <c r="F75" s="18" t="s">
        <v>48</v>
      </c>
      <c r="G75" s="18" t="s">
        <v>52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5" t="s">
        <v>293</v>
      </c>
      <c r="B76" s="15" t="s">
        <v>294</v>
      </c>
      <c r="C76" s="15" t="s">
        <v>262</v>
      </c>
      <c r="D76" s="15" t="s">
        <v>286</v>
      </c>
      <c r="E76" s="20" t="s">
        <v>25</v>
      </c>
      <c r="F76" s="18" t="s">
        <v>48</v>
      </c>
      <c r="G76" s="18" t="s">
        <v>52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5" t="s">
        <v>295</v>
      </c>
      <c r="B77" s="15" t="s">
        <v>296</v>
      </c>
      <c r="C77" s="15" t="s">
        <v>262</v>
      </c>
      <c r="D77" s="15" t="s">
        <v>286</v>
      </c>
      <c r="E77" s="20" t="s">
        <v>25</v>
      </c>
      <c r="F77" s="18" t="s">
        <v>48</v>
      </c>
      <c r="G77" s="18" t="s">
        <v>52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5" t="s">
        <v>297</v>
      </c>
      <c r="B78" s="15" t="s">
        <v>298</v>
      </c>
      <c r="C78" s="15" t="s">
        <v>262</v>
      </c>
      <c r="D78" s="15" t="s">
        <v>299</v>
      </c>
      <c r="E78" s="20" t="s">
        <v>25</v>
      </c>
      <c r="F78" s="18" t="s">
        <v>48</v>
      </c>
      <c r="G78" s="18" t="s">
        <v>52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8"/>
      <c r="B79" s="8"/>
      <c r="C79" s="8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3" t="s">
        <v>300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6" t="s">
        <v>13</v>
      </c>
      <c r="B81" s="16" t="s">
        <v>15</v>
      </c>
      <c r="C81" s="16" t="s">
        <v>16</v>
      </c>
      <c r="D81" s="16" t="s">
        <v>17</v>
      </c>
      <c r="E81" s="16" t="s">
        <v>18</v>
      </c>
      <c r="F81" s="16" t="s">
        <v>27</v>
      </c>
      <c r="G81" s="16" t="s">
        <v>19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5" t="s">
        <v>301</v>
      </c>
      <c r="B82" s="15" t="s">
        <v>302</v>
      </c>
      <c r="C82" s="15" t="s">
        <v>303</v>
      </c>
      <c r="D82" s="15" t="s">
        <v>304</v>
      </c>
      <c r="E82" s="20" t="s">
        <v>25</v>
      </c>
      <c r="F82" s="18" t="s">
        <v>188</v>
      </c>
      <c r="G82" s="18" t="s">
        <v>52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5" t="s">
        <v>305</v>
      </c>
      <c r="B83" s="15" t="s">
        <v>306</v>
      </c>
      <c r="C83" s="15" t="s">
        <v>307</v>
      </c>
      <c r="D83" s="15" t="s">
        <v>308</v>
      </c>
      <c r="E83" s="20" t="s">
        <v>25</v>
      </c>
      <c r="F83" s="18" t="s">
        <v>188</v>
      </c>
      <c r="G83" s="18" t="s">
        <v>52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5" t="s">
        <v>309</v>
      </c>
      <c r="B84" s="15" t="s">
        <v>310</v>
      </c>
      <c r="C84" s="15" t="s">
        <v>311</v>
      </c>
      <c r="D84" s="15" t="s">
        <v>312</v>
      </c>
      <c r="E84" s="20" t="s">
        <v>25</v>
      </c>
      <c r="F84" s="18" t="s">
        <v>188</v>
      </c>
      <c r="G84" s="18" t="s">
        <v>52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5" t="s">
        <v>313</v>
      </c>
      <c r="B85" s="15" t="s">
        <v>314</v>
      </c>
      <c r="C85" s="15" t="s">
        <v>315</v>
      </c>
      <c r="D85" s="15" t="s">
        <v>316</v>
      </c>
      <c r="E85" s="20" t="s">
        <v>25</v>
      </c>
      <c r="F85" s="18" t="s">
        <v>188</v>
      </c>
      <c r="G85" s="18" t="s">
        <v>52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5" t="s">
        <v>317</v>
      </c>
      <c r="B86" s="15" t="s">
        <v>318</v>
      </c>
      <c r="C86" s="15" t="s">
        <v>319</v>
      </c>
      <c r="D86" s="15" t="s">
        <v>320</v>
      </c>
      <c r="E86" s="20" t="s">
        <v>25</v>
      </c>
      <c r="F86" s="18" t="s">
        <v>188</v>
      </c>
      <c r="G86" s="18" t="s">
        <v>52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5" t="s">
        <v>321</v>
      </c>
      <c r="B87" s="15" t="s">
        <v>322</v>
      </c>
      <c r="C87" s="15" t="s">
        <v>323</v>
      </c>
      <c r="D87" s="15" t="s">
        <v>324</v>
      </c>
      <c r="E87" s="20" t="s">
        <v>25</v>
      </c>
      <c r="F87" s="18" t="s">
        <v>188</v>
      </c>
      <c r="G87" s="18" t="s">
        <v>52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0.0" customHeight="1">
      <c r="A88" s="15" t="s">
        <v>325</v>
      </c>
      <c r="B88" s="15" t="s">
        <v>326</v>
      </c>
      <c r="C88" s="15" t="s">
        <v>327</v>
      </c>
      <c r="D88" s="15" t="s">
        <v>328</v>
      </c>
      <c r="E88" s="20" t="s">
        <v>25</v>
      </c>
      <c r="F88" s="18" t="s">
        <v>188</v>
      </c>
      <c r="G88" s="18" t="s">
        <v>52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5" t="s">
        <v>329</v>
      </c>
      <c r="B89" s="25" t="s">
        <v>330</v>
      </c>
      <c r="C89" s="25" t="s">
        <v>331</v>
      </c>
      <c r="D89" s="25" t="s">
        <v>332</v>
      </c>
      <c r="E89" s="26" t="s">
        <v>25</v>
      </c>
      <c r="F89" s="27" t="s">
        <v>188</v>
      </c>
      <c r="G89" s="27" t="s">
        <v>52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1:G1"/>
    <mergeCell ref="A3:G3"/>
    <mergeCell ref="A21:G21"/>
    <mergeCell ref="A25:G25"/>
    <mergeCell ref="A43:G43"/>
    <mergeCell ref="A60:G60"/>
    <mergeCell ref="A80:G80"/>
  </mergeCells>
  <dataValidations>
    <dataValidation type="list" allowBlank="1" sqref="E5:E19 E23 E27:E42 E44:E59 E61:E79 E81:E89">
      <formula1>"pass,fail,not run"</formula1>
    </dataValidation>
  </dataValidations>
  <printOptions horizontalCentered="1"/>
  <pageMargins bottom="0.5" footer="0.0" header="0.0" left="0.4" right="0.4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30.0"/>
    <col customWidth="1" min="3" max="3" width="52.0"/>
    <col customWidth="1" min="4" max="4" width="44.0"/>
    <col customWidth="1" min="5" max="5" width="11.0"/>
    <col customWidth="1" min="6" max="6" width="20.0"/>
    <col customWidth="1" min="7" max="25" width="8.71"/>
  </cols>
  <sheetData>
    <row r="1" ht="27.75" customHeight="1">
      <c r="A1" s="2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"/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1" t="s">
        <v>13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19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4" t="s">
        <v>21</v>
      </c>
      <c r="B5" s="14" t="s">
        <v>22</v>
      </c>
      <c r="C5" s="14" t="s">
        <v>23</v>
      </c>
      <c r="D5" s="15" t="s">
        <v>24</v>
      </c>
      <c r="E5" s="17" t="s">
        <v>25</v>
      </c>
      <c r="F5" s="18" t="s">
        <v>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4" t="s">
        <v>28</v>
      </c>
      <c r="B6" s="15" t="s">
        <v>29</v>
      </c>
      <c r="C6" s="15" t="s">
        <v>30</v>
      </c>
      <c r="D6" s="15" t="s">
        <v>31</v>
      </c>
      <c r="E6" s="17" t="s">
        <v>25</v>
      </c>
      <c r="F6" s="18" t="s">
        <v>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4" t="s">
        <v>33</v>
      </c>
      <c r="B7" s="15" t="s">
        <v>34</v>
      </c>
      <c r="C7" s="15" t="s">
        <v>35</v>
      </c>
      <c r="D7" s="15" t="s">
        <v>36</v>
      </c>
      <c r="E7" s="17" t="s">
        <v>25</v>
      </c>
      <c r="F7" s="18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4" t="s">
        <v>40</v>
      </c>
      <c r="B8" s="15" t="s">
        <v>41</v>
      </c>
      <c r="C8" s="15" t="s">
        <v>42</v>
      </c>
      <c r="D8" s="15" t="s">
        <v>43</v>
      </c>
      <c r="E8" s="17" t="s">
        <v>25</v>
      </c>
      <c r="F8" s="18" t="s">
        <v>26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4" t="s">
        <v>44</v>
      </c>
      <c r="B9" s="15" t="s">
        <v>45</v>
      </c>
      <c r="C9" s="15" t="s">
        <v>46</v>
      </c>
      <c r="D9" s="15" t="s">
        <v>47</v>
      </c>
      <c r="E9" s="17" t="s">
        <v>25</v>
      </c>
      <c r="F9" s="18" t="s">
        <v>26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4" t="s">
        <v>49</v>
      </c>
      <c r="B10" s="15" t="s">
        <v>50</v>
      </c>
      <c r="C10" s="15" t="s">
        <v>51</v>
      </c>
      <c r="D10" s="15" t="s">
        <v>53</v>
      </c>
      <c r="E10" s="17" t="s">
        <v>25</v>
      </c>
      <c r="F10" s="18" t="s">
        <v>26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4" t="s">
        <v>54</v>
      </c>
      <c r="B11" s="15" t="s">
        <v>55</v>
      </c>
      <c r="C11" s="15" t="s">
        <v>56</v>
      </c>
      <c r="D11" s="15" t="s">
        <v>57</v>
      </c>
      <c r="E11" s="17" t="s">
        <v>25</v>
      </c>
      <c r="F11" s="18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4" t="s">
        <v>59</v>
      </c>
      <c r="B12" s="15" t="s">
        <v>60</v>
      </c>
      <c r="C12" s="15" t="s">
        <v>62</v>
      </c>
      <c r="D12" s="15" t="s">
        <v>63</v>
      </c>
      <c r="E12" s="17" t="s">
        <v>25</v>
      </c>
      <c r="F12" s="18" t="s">
        <v>26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4" t="s">
        <v>66</v>
      </c>
      <c r="B13" s="15" t="s">
        <v>67</v>
      </c>
      <c r="C13" s="15" t="s">
        <v>68</v>
      </c>
      <c r="D13" s="15" t="s">
        <v>69</v>
      </c>
      <c r="E13" s="17" t="s">
        <v>25</v>
      </c>
      <c r="F13" s="18" t="s">
        <v>26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4" t="s">
        <v>70</v>
      </c>
      <c r="B14" s="15" t="s">
        <v>71</v>
      </c>
      <c r="C14" s="15" t="s">
        <v>72</v>
      </c>
      <c r="D14" s="15" t="s">
        <v>73</v>
      </c>
      <c r="E14" s="17" t="s">
        <v>25</v>
      </c>
      <c r="F14" s="18" t="s">
        <v>26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4" t="s">
        <v>74</v>
      </c>
      <c r="B15" s="15" t="s">
        <v>75</v>
      </c>
      <c r="C15" s="15" t="s">
        <v>76</v>
      </c>
      <c r="D15" s="15" t="s">
        <v>77</v>
      </c>
      <c r="E15" s="17" t="s">
        <v>25</v>
      </c>
      <c r="F15" s="18" t="s">
        <v>26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4" t="s">
        <v>82</v>
      </c>
      <c r="B16" s="15" t="s">
        <v>83</v>
      </c>
      <c r="C16" s="15" t="s">
        <v>84</v>
      </c>
      <c r="D16" s="15" t="s">
        <v>85</v>
      </c>
      <c r="E16" s="17" t="s">
        <v>25</v>
      </c>
      <c r="F16" s="18" t="s">
        <v>26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5"/>
      <c r="B17" s="5"/>
      <c r="C17" s="5"/>
      <c r="D17" s="5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30.0" customHeight="1">
      <c r="A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3">
    <mergeCell ref="A1:F1"/>
    <mergeCell ref="A3:F3"/>
    <mergeCell ref="A18:F18"/>
  </mergeCells>
  <dataValidations>
    <dataValidation type="list" allowBlank="1" sqref="E5:E16">
      <formula1>"pass,fail,not run"</formula1>
    </dataValidation>
  </dataValidations>
  <printOptions horizontalCentered="1"/>
  <pageMargins bottom="0.5" footer="0.0" header="0.0" left="0.4" right="0.4" top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26.0"/>
    <col customWidth="1" min="3" max="3" width="11.0"/>
    <col customWidth="1" min="4" max="7" width="9.0"/>
    <col customWidth="1" min="8" max="26" width="8.71"/>
  </cols>
  <sheetData>
    <row r="1" ht="27.75" customHeight="1">
      <c r="A1" s="1" t="s">
        <v>0</v>
      </c>
    </row>
    <row r="3">
      <c r="A3" s="4" t="s">
        <v>2</v>
      </c>
      <c r="B3" s="4" t="s">
        <v>4</v>
      </c>
      <c r="C3" s="4" t="s">
        <v>5</v>
      </c>
      <c r="D3" s="7" t="s">
        <v>6</v>
      </c>
      <c r="E3" s="7" t="s">
        <v>8</v>
      </c>
      <c r="F3" s="7" t="s">
        <v>9</v>
      </c>
      <c r="G3" s="7" t="s">
        <v>10</v>
      </c>
    </row>
    <row r="4">
      <c r="A4" s="10" t="s">
        <v>11</v>
      </c>
      <c r="B4" s="12" t="s">
        <v>14</v>
      </c>
      <c r="C4" s="12" t="s">
        <v>20</v>
      </c>
      <c r="D4" s="19">
        <f t="shared" ref="D4:D10" si="1">SUM(E4:G4)</f>
        <v>15</v>
      </c>
      <c r="E4" s="19">
        <f>COUNTIFS('Backend tests'!$A$1:$A$300,"TC_01_*",'Backend tests'!$E$1:$E$300,"pass")</f>
        <v>15</v>
      </c>
      <c r="F4" s="19">
        <f>COUNTIFS('Backend tests'!$A$1:$A$300,"TC_01_*",'Backend tests'!$E$1:$E$300,"fail")</f>
        <v>0</v>
      </c>
      <c r="G4" s="19">
        <f>COUNTIFS('Backend tests'!$A$1:$A$300,"TC_01_*",'Backend tests'!$E$1:$E$300,"not run")</f>
        <v>0</v>
      </c>
    </row>
    <row r="5">
      <c r="A5" s="10" t="s">
        <v>90</v>
      </c>
      <c r="B5" s="12" t="s">
        <v>91</v>
      </c>
      <c r="C5" s="12" t="s">
        <v>20</v>
      </c>
      <c r="D5" s="19">
        <f t="shared" si="1"/>
        <v>1</v>
      </c>
      <c r="E5" s="19">
        <f>COUNTIFS('Backend tests'!$A$1:$A$300,"TC_02_*",'Backend tests'!$E$1:$E$300,"pass")</f>
        <v>1</v>
      </c>
      <c r="F5" s="19">
        <f>COUNTIFS('Backend tests'!$A$1:$A$300,"TC_02_*",'Backend tests'!$E$1:$E$300,"fail")</f>
        <v>0</v>
      </c>
      <c r="G5" s="19">
        <f>COUNTIFS('Backend tests'!$A$1:$A$300,"TC_02_*",'Backend tests'!$E$1:$E$300,"not run")</f>
        <v>0</v>
      </c>
    </row>
    <row r="6">
      <c r="A6" s="10" t="s">
        <v>108</v>
      </c>
      <c r="B6" s="12" t="s">
        <v>109</v>
      </c>
      <c r="C6" s="12" t="s">
        <v>20</v>
      </c>
      <c r="D6" s="19">
        <f t="shared" si="1"/>
        <v>15</v>
      </c>
      <c r="E6" s="19">
        <f>COUNTIFS('Backend tests'!$A$1:$A$300,"TC_03_*",'Backend tests'!$E$1:$E$300,"pass")</f>
        <v>15</v>
      </c>
      <c r="F6" s="19">
        <f>COUNTIFS('Backend tests'!$A$1:$A$300,"TC_03_*",'Backend tests'!$E$1:$E$300,"fail")</f>
        <v>0</v>
      </c>
      <c r="G6" s="19">
        <f>COUNTIFS('Backend tests'!$A$1:$A$300,"TC_03_*",'Backend tests'!$E$1:$E$300,"not run")</f>
        <v>0</v>
      </c>
    </row>
    <row r="7">
      <c r="A7" s="10" t="s">
        <v>124</v>
      </c>
      <c r="B7" s="12" t="s">
        <v>125</v>
      </c>
      <c r="C7" s="12" t="s">
        <v>20</v>
      </c>
      <c r="D7" s="19">
        <f t="shared" si="1"/>
        <v>14</v>
      </c>
      <c r="E7" s="19">
        <f>COUNTIFS('Backend tests'!$A$1:$A$300,"TC_04_*",'Backend tests'!$E$1:$E$300,"pass")</f>
        <v>14</v>
      </c>
      <c r="F7" s="19">
        <f>COUNTIFS('Backend tests'!$A$1:$A$300,"TC_04_*",'Backend tests'!$E$1:$E$300,"fail")</f>
        <v>0</v>
      </c>
      <c r="G7" s="19">
        <f>COUNTIFS('Backend tests'!$A$1:$A$300,"TC_04_*",'Backend tests'!$E$1:$E$300,"not run")</f>
        <v>0</v>
      </c>
    </row>
    <row r="8">
      <c r="A8" s="10" t="s">
        <v>124</v>
      </c>
      <c r="B8" s="12" t="s">
        <v>138</v>
      </c>
      <c r="C8" s="12" t="s">
        <v>139</v>
      </c>
      <c r="D8" s="19">
        <f t="shared" si="1"/>
        <v>12</v>
      </c>
      <c r="E8" s="19">
        <f>COUNTIFS('Frontend tests'!$A$1:$A$300,"TC_04_*",'Frontend tests'!$E$1:$E$300,"pass")</f>
        <v>12</v>
      </c>
      <c r="F8" s="19">
        <f>COUNTIFS('Frontend tests'!$A$1:$A$300,"TC_04_*",'Frontend tests'!$E$1:$E$300,"fail")</f>
        <v>0</v>
      </c>
      <c r="G8" s="19">
        <f>COUNTIFS('Frontend tests'!$A$1:$A$300,"TC_04_*",'Frontend tests'!$E$1:$E$300,"not run")</f>
        <v>0</v>
      </c>
    </row>
    <row r="9">
      <c r="A9" s="10" t="s">
        <v>146</v>
      </c>
      <c r="B9" s="12" t="s">
        <v>147</v>
      </c>
      <c r="C9" s="12" t="s">
        <v>20</v>
      </c>
      <c r="D9" s="19">
        <f t="shared" si="1"/>
        <v>17</v>
      </c>
      <c r="E9" s="19">
        <f>COUNTIFS('Backend tests'!$A$1:$A$300,"TC_05_*",'Backend tests'!$E$1:$E$300,"pass")</f>
        <v>17</v>
      </c>
      <c r="F9" s="19">
        <f>COUNTIFS('Backend tests'!$A$1:$A$300,"TC_05_*",'Backend tests'!$E$1:$E$300,"fail")</f>
        <v>0</v>
      </c>
      <c r="G9" s="19">
        <f>COUNTIFS('Backend tests'!$A$1:$A$300,"TC_05_*",'Backend tests'!$E$1:$E$300,"not run")</f>
        <v>0</v>
      </c>
    </row>
    <row r="10">
      <c r="A10" s="10" t="s">
        <v>160</v>
      </c>
      <c r="B10" s="12" t="s">
        <v>161</v>
      </c>
      <c r="C10" s="12" t="s">
        <v>20</v>
      </c>
      <c r="D10" s="19">
        <f t="shared" si="1"/>
        <v>8</v>
      </c>
      <c r="E10" s="19">
        <f>COUNTIFS('Backend tests'!$A$1:$A$300,"TC_06_*",'Backend tests'!$E$1:$E$300,"pass")</f>
        <v>8</v>
      </c>
      <c r="F10" s="19">
        <f>COUNTIFS('Backend tests'!$A$1:$A$300,"TC_06_*",'Backend tests'!$E$1:$E$300,"fail")</f>
        <v>0</v>
      </c>
      <c r="G10" s="19">
        <f>COUNTIFS('Backend tests'!$A$1:$A$300,"TC_06_*",'Backend tests'!$E$1:$E$300,"not run")</f>
        <v>0</v>
      </c>
    </row>
    <row r="11">
      <c r="A11" s="21" t="s">
        <v>6</v>
      </c>
      <c r="B11" s="21"/>
      <c r="C11" s="21"/>
      <c r="D11" s="22">
        <f t="shared" ref="D11:G11" si="2">SUM(D4:D10)</f>
        <v>82</v>
      </c>
      <c r="E11" s="22">
        <f t="shared" si="2"/>
        <v>82</v>
      </c>
      <c r="F11" s="22">
        <f t="shared" si="2"/>
        <v>0</v>
      </c>
      <c r="G11" s="22">
        <f t="shared" si="2"/>
        <v>0</v>
      </c>
    </row>
    <row r="12">
      <c r="A12" s="23"/>
    </row>
    <row r="13">
      <c r="A13" s="24" t="s">
        <v>194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5" footer="0.0" header="0.0" left="0.4" right="0.4" top="0.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2026-10-11T18:34:00Z</dcterms:created>
  <dc:creator>openpyxl</dc:creator>
</cp:coreProperties>
</file>